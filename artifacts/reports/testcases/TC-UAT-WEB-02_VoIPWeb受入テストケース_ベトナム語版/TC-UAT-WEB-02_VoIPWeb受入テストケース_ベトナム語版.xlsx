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http://schemas.openxmlformats.org/spreadsheetml/2006/main" xmlns:r="http://schemas.openxmlformats.org/officeDocument/2006/relationships">
  <workbookPr/>
  <bookViews>
    <workbookView tabRatio="600" firstSheet="0" activeTab="0"/>
  </bookViews>
  <sheets>
    <sheet name="変更履歴" sheetId="1" r:id="rId1"/>
    <sheet name="VoIPWeb受入テスト越語版" sheetId="2" r:id="rId2"/>
  </sheet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Meiryo"/>
      <b val="1"/>
      <color rgb="FF000000"/>
      <sz val="13"/>
    </font>
    <font>
      <name val="Meiryo"/>
      <b val="1"/>
      <color rgb="FF595959"/>
      <sz val="10"/>
    </font>
    <font>
      <name val="Meiryo"/>
      <b val="1"/>
      <color rgb="FF000000"/>
      <sz val="11"/>
    </font>
    <font>
      <name val="Meiryo"/>
      <b val="1"/>
      <color rgb="FF000000"/>
      <sz val="9"/>
    </font>
    <font>
      <name val="Meiryo"/>
      <color rgb="FF000000"/>
      <sz val="9"/>
    </font>
    <font>
      <name val="Meiryo"/>
      <b val="1"/>
      <color rgb="FF000000"/>
      <sz val="14"/>
    </font>
    <font>
      <name val="Meiryo"/>
      <b val="1"/>
      <color rgb="FF000000"/>
      <sz val="10"/>
    </font>
  </fonts>
  <fills count="7">
    <fill>
      <patternFill/>
    </fill>
    <fill>
      <patternFill patternType="gray125"/>
    </fill>
    <fill>
      <patternFill patternType="solid">
        <fgColor rgb="FFF2F2F2"/>
      </patternFill>
    </fill>
    <fill>
      <patternFill patternType="solid">
        <fgColor rgb="FFBFBFBF"/>
      </patternFill>
    </fill>
    <fill>
      <patternFill patternType="solid">
        <fgColor rgb="FFD9D9D9"/>
      </patternFill>
    </fill>
    <fill>
      <patternFill patternType="solid">
        <fgColor rgb="FFF7F7F7"/>
      </patternFill>
    </fill>
    <fill>
      <patternFill patternType="solid">
        <fgColor rgb="FFECECEC"/>
      </patternFill>
    </fill>
  </fills>
  <borders count="49">
    <border>
      <left/>
      <right/>
      <top/>
      <bottom/>
      <diagonal/>
    </border>
    <border>
      <left style="thin">
        <color rgb="FFA6A6A6"/>
      </left>
      <right style="thin">
        <color rgb="FFA6A6A6"/>
      </right>
      <top style="thin">
        <color rgb="FFA6A6A6"/>
      </top>
      <bottom style="thin">
        <color rgb="FFA6A6A6"/>
      </bottom>
    </border>
    <border>
      <left/>
      <right/>
      <top style="thin">
        <color rgb="FFA6A6A6"/>
      </top>
      <bottom/>
      <diagonal/>
    </border>
    <border>
      <left/>
      <right style="thin">
        <color rgb="FFA6A6A6"/>
      </right>
      <top style="thin">
        <color rgb="FFA6A6A6"/>
      </top>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style="medium">
        <color rgb="FF808080"/>
      </left>
      <right style="thin">
        <color rgb="FFA6A6A6"/>
      </right>
      <top style="medium">
        <color rgb="FF808080"/>
      </top>
      <bottom style="medium">
        <color rgb="FF808080"/>
      </bottom>
    </border>
    <border>
      <left style="thin">
        <color rgb="FFA6A6A6"/>
      </left>
      <right style="thin">
        <color rgb="FFA6A6A6"/>
      </right>
      <top style="medium">
        <color rgb="FF808080"/>
      </top>
      <bottom style="medium">
        <color rgb="FF808080"/>
      </bottom>
    </border>
    <border>
      <left style="thin">
        <color rgb="FFA6A6A6"/>
      </left>
      <right style="medium">
        <color rgb="FF808080"/>
      </right>
      <top style="medium">
        <color rgb="FF808080"/>
      </top>
      <bottom style="medium">
        <color rgb="FF808080"/>
      </bottom>
    </border>
    <border>
      <left style="thin">
        <color rgb="FFA6A6A6"/>
      </left>
      <right style="thin">
        <color rgb="FFA6A6A6"/>
      </right>
      <top style="medium">
        <color rgb="FF808080"/>
      </top>
      <bottom style="thin">
        <color rgb="FFA6A6A6"/>
      </bottom>
    </border>
    <border>
      <left/>
      <right/>
      <top style="medium">
        <color rgb="FF808080"/>
      </top>
      <bottom/>
      <diagonal/>
    </border>
    <border>
      <left/>
      <right style="thin">
        <color rgb="FFA6A6A6"/>
      </right>
      <top style="medium">
        <color rgb="FF808080"/>
      </top>
      <bottom/>
      <diagonal/>
    </border>
    <border>
      <left/>
      <right/>
      <top style="medium">
        <color rgb="FF808080"/>
      </top>
      <bottom style="thin">
        <color rgb="FFA6A6A6"/>
      </bottom>
      <diagonal/>
    </border>
    <border>
      <left/>
      <right style="thin">
        <color rgb="FFA6A6A6"/>
      </right>
      <top style="medium">
        <color rgb="FF808080"/>
      </top>
      <bottom style="thin">
        <color rgb="FFA6A6A6"/>
      </bottom>
      <diagonal/>
    </border>
    <border>
      <left style="medium">
        <color rgb="FF808080"/>
      </left>
      <right style="thin">
        <color rgb="FFA6A6A6"/>
      </right>
      <top style="medium">
        <color rgb="FF808080"/>
      </top>
      <bottom style="thin">
        <color rgb="FFA6A6A6"/>
      </bottom>
    </border>
    <border>
      <left/>
      <right/>
      <top style="medium">
        <color rgb="FF808080"/>
      </top>
      <bottom style="thin">
        <color rgb="FFA6A6A6"/>
      </bottom>
    </border>
    <border>
      <left/>
      <right style="thin">
        <color rgb="FFA6A6A6"/>
      </right>
      <top style="medium">
        <color rgb="FF808080"/>
      </top>
      <bottom style="thin">
        <color rgb="FFA6A6A6"/>
      </bottom>
    </border>
    <border>
      <left/>
      <right style="medium">
        <color rgb="FF808080"/>
      </right>
      <top style="medium">
        <color rgb="FF808080"/>
      </top>
      <bottom style="thin">
        <color rgb="FFA6A6A6"/>
      </bottom>
    </border>
    <border>
      <left style="medium">
        <color rgb="FF808080"/>
      </left>
      <right style="thin">
        <color rgb="FFA6A6A6"/>
      </right>
      <top style="thin">
        <color rgb="FFA6A6A6"/>
      </top>
      <bottom style="thin">
        <color rgb="FFA6A6A6"/>
      </bottom>
    </border>
    <border>
      <left/>
      <right/>
      <top style="thin">
        <color rgb="FFA6A6A6"/>
      </top>
      <bottom style="thin">
        <color rgb="FFA6A6A6"/>
      </bottom>
    </border>
    <border>
      <left/>
      <right style="thin">
        <color rgb="FFA6A6A6"/>
      </right>
      <top style="thin">
        <color rgb="FFA6A6A6"/>
      </top>
      <bottom style="thin">
        <color rgb="FFA6A6A6"/>
      </bottom>
    </border>
    <border>
      <left/>
      <right style="medium">
        <color rgb="FF808080"/>
      </right>
      <top style="thin">
        <color rgb="FFA6A6A6"/>
      </top>
      <bottom style="thin">
        <color rgb="FFA6A6A6"/>
      </bottom>
    </border>
    <border>
      <left style="medium">
        <color rgb="FF808080"/>
      </left>
      <right style="thin">
        <color rgb="FFA6A6A6"/>
      </right>
      <top style="thin">
        <color rgb="FFA6A6A6"/>
      </top>
      <bottom style="medium">
        <color rgb="FF808080"/>
      </bottom>
    </border>
    <border>
      <left/>
      <right/>
      <top style="thin">
        <color rgb="FFA6A6A6"/>
      </top>
      <bottom style="medium">
        <color rgb="FF808080"/>
      </bottom>
    </border>
    <border>
      <left/>
      <right style="thin">
        <color rgb="FFA6A6A6"/>
      </right>
      <top style="thin">
        <color rgb="FFA6A6A6"/>
      </top>
      <bottom style="medium">
        <color rgb="FF808080"/>
      </bottom>
    </border>
    <border>
      <left style="thin">
        <color rgb="FFA6A6A6"/>
      </left>
      <right style="thin">
        <color rgb="FFA6A6A6"/>
      </right>
      <top style="thin">
        <color rgb="FFA6A6A6"/>
      </top>
      <bottom style="medium">
        <color rgb="FF808080"/>
      </bottom>
    </border>
    <border>
      <left/>
      <right style="medium">
        <color rgb="FF808080"/>
      </right>
      <top style="thin">
        <color rgb="FFA6A6A6"/>
      </top>
      <bottom style="medium">
        <color rgb="FF808080"/>
      </bottom>
    </border>
    <border>
      <left style="medium">
        <color rgb="FF808080"/>
      </left>
      <right/>
      <top/>
      <bottom/>
      <diagonal/>
    </border>
    <border>
      <left/>
      <right style="thin">
        <color rgb="FFA6A6A6"/>
      </right>
      <top/>
      <bottom/>
      <diagonal/>
    </border>
    <border>
      <left style="medium">
        <color rgb="FF808080"/>
      </left>
      <right/>
      <top/>
      <bottom style="medium">
        <color rgb="FF808080"/>
      </bottom>
      <diagonal/>
    </border>
    <border>
      <left/>
      <right/>
      <top/>
      <bottom style="medium">
        <color rgb="FF808080"/>
      </bottom>
      <diagonal/>
    </border>
    <border>
      <left/>
      <right style="thin">
        <color rgb="FFA6A6A6"/>
      </right>
      <top/>
      <bottom style="medium">
        <color rgb="FF808080"/>
      </bottom>
      <diagonal/>
    </border>
    <border>
      <left/>
      <right/>
      <top style="thin">
        <color rgb="FFA6A6A6"/>
      </top>
      <bottom style="medium">
        <color rgb="FF808080"/>
      </bottom>
      <diagonal/>
    </border>
    <border>
      <left/>
      <right style="thin">
        <color rgb="FFA6A6A6"/>
      </right>
      <top style="thin">
        <color rgb="FFA6A6A6"/>
      </top>
      <bottom style="medium">
        <color rgb="FF808080"/>
      </bottom>
      <diagonal/>
    </border>
    <border>
      <left style="thin">
        <color rgb="FFA6A6A6"/>
      </left>
      <right style="medium">
        <color rgb="FF808080"/>
      </right>
      <top style="medium">
        <color rgb="FF808080"/>
      </top>
      <bottom style="thin">
        <color rgb="FFA6A6A6"/>
      </bottom>
    </border>
    <border>
      <left/>
      <right style="medium">
        <color rgb="FF808080"/>
      </right>
      <top style="medium">
        <color rgb="FF808080"/>
      </top>
      <bottom/>
      <diagonal/>
    </border>
    <border>
      <left/>
      <right style="medium">
        <color rgb="FF808080"/>
      </right>
      <top style="medium">
        <color rgb="FF808080"/>
      </top>
      <bottom style="thin">
        <color rgb="FFA6A6A6"/>
      </bottom>
      <diagonal/>
    </border>
    <border>
      <left style="thin">
        <color rgb="FFA6A6A6"/>
      </left>
      <right style="medium">
        <color rgb="FF808080"/>
      </right>
      <top style="thin">
        <color rgb="FFA6A6A6"/>
      </top>
      <bottom style="thin">
        <color rgb="FFA6A6A6"/>
      </bottom>
    </border>
    <border>
      <left/>
      <right style="medium">
        <color rgb="FF808080"/>
      </right>
      <top style="thin">
        <color rgb="FFA6A6A6"/>
      </top>
      <bottom/>
      <diagonal/>
    </border>
    <border>
      <left/>
      <right style="medium">
        <color rgb="FF808080"/>
      </right>
      <top style="thin">
        <color rgb="FFA6A6A6"/>
      </top>
      <bottom style="thin">
        <color rgb="FFA6A6A6"/>
      </bottom>
      <diagonal/>
    </border>
    <border>
      <left style="thin">
        <color rgb="FFA6A6A6"/>
      </left>
      <right style="medium">
        <color rgb="FF808080"/>
      </right>
      <top style="thin">
        <color rgb="FFA6A6A6"/>
      </top>
      <bottom style="medium">
        <color rgb="FF808080"/>
      </bottom>
    </border>
    <border>
      <left/>
      <right style="medium">
        <color rgb="FF808080"/>
      </right>
      <top style="thin">
        <color rgb="FFA6A6A6"/>
      </top>
      <bottom style="medium">
        <color rgb="FF808080"/>
      </bottom>
      <diagonal/>
    </border>
    <border>
      <left style="medium">
        <color rgb="FF808080"/>
      </left>
      <right/>
      <top/>
      <bottom style="thin">
        <color rgb="FFA6A6A6"/>
      </bottom>
      <diagonal/>
    </border>
    <border>
      <left/>
      <right style="thin">
        <color rgb="FFA6A6A6"/>
      </right>
      <top/>
      <bottom style="thin">
        <color rgb="FFA6A6A6"/>
      </bottom>
      <diagonal/>
    </border>
    <border>
      <left style="thin">
        <color rgb="FFA6A6A6"/>
      </left>
      <right/>
      <top/>
      <bottom/>
      <diagonal/>
    </border>
    <border>
      <left style="thin">
        <color rgb="FFA6A6A6"/>
      </left>
      <right/>
      <top/>
      <bottom style="thin">
        <color rgb="FFA6A6A6"/>
      </bottom>
      <diagonal/>
    </border>
    <border>
      <left/>
      <right/>
      <top/>
      <bottom style="thin">
        <color rgb="FFA6A6A6"/>
      </bottom>
      <diagonal/>
    </border>
    <border>
      <left/>
      <right style="medium">
        <color rgb="FF808080"/>
      </right>
      <top/>
      <bottom/>
      <diagonal/>
    </border>
    <border>
      <left/>
      <right style="medium">
        <color rgb="FF808080"/>
      </right>
      <top/>
      <bottom style="thin">
        <color rgb="FFA6A6A6"/>
      </bottom>
      <diagonal/>
    </border>
  </borders>
  <cellStyleXfs count="1">
    <xf numFmtId="0" fontId="0" fillId="0" borderId="0"/>
  </cellStyleXfs>
  <cellXfs count="73">
    <xf numFmtId="0" fontId="0" fillId="0" borderId="0" pivotButton="0" quotePrefix="0" xfId="0"/>
    <xf numFmtId="0" fontId="1" fillId="2" borderId="6" applyAlignment="1" pivotButton="0" quotePrefix="0" xfId="0">
      <alignment horizontal="center" vertical="center" wrapText="1"/>
    </xf>
    <xf numFmtId="0" fontId="0" fillId="0" borderId="7" pivotButton="0" quotePrefix="0" xfId="0"/>
    <xf numFmtId="0" fontId="0" fillId="0" borderId="8" pivotButton="0" quotePrefix="0" xfId="0"/>
    <xf numFmtId="0" fontId="2" fillId="0" borderId="1" applyAlignment="1" pivotButton="0" quotePrefix="0" xfId="0">
      <alignment horizontal="left" vertical="center" wrapText="1"/>
    </xf>
    <xf numFmtId="0" fontId="0" fillId="0" borderId="4" pivotButton="0" quotePrefix="0" xfId="0"/>
    <xf numFmtId="0" fontId="0" fillId="0" borderId="5" pivotButton="0" quotePrefix="0" xfId="0"/>
    <xf numFmtId="0" fontId="3" fillId="3" borderId="1" applyAlignment="1" pivotButton="0" quotePrefix="0" xfId="0">
      <alignment horizontal="left" vertical="center" wrapText="1"/>
    </xf>
    <xf numFmtId="0" fontId="4" fillId="4" borderId="14" applyAlignment="1" pivotButton="0" quotePrefix="0" xfId="0">
      <alignment horizontal="center" vertical="center" wrapText="1"/>
    </xf>
    <xf numFmtId="0" fontId="0" fillId="0" borderId="15" pivotButton="0" quotePrefix="0" xfId="0"/>
    <xf numFmtId="0" fontId="0" fillId="0" borderId="16" pivotButton="0" quotePrefix="0" xfId="0"/>
    <xf numFmtId="0" fontId="4" fillId="4" borderId="9" applyAlignment="1" pivotButton="0" quotePrefix="0" xfId="0">
      <alignment horizontal="center" vertical="center" wrapText="1"/>
    </xf>
    <xf numFmtId="0" fontId="0" fillId="0" borderId="17" pivotButton="0" quotePrefix="0" xfId="0"/>
    <xf numFmtId="0" fontId="5" fillId="0" borderId="18" applyAlignment="1" pivotButton="0" quotePrefix="0" xfId="0">
      <alignment horizontal="left" vertical="center" wrapText="1"/>
    </xf>
    <xf numFmtId="0" fontId="0" fillId="0" borderId="19" pivotButton="0" quotePrefix="0" xfId="0"/>
    <xf numFmtId="0" fontId="0" fillId="0" borderId="20" pivotButton="0" quotePrefix="0" xfId="0"/>
    <xf numFmtId="0" fontId="5" fillId="0" borderId="1" applyAlignment="1" pivotButton="0" quotePrefix="0" xfId="0">
      <alignment horizontal="left" vertical="center" wrapText="1"/>
    </xf>
    <xf numFmtId="0" fontId="0" fillId="0" borderId="21" pivotButton="0" quotePrefix="0" xfId="0"/>
    <xf numFmtId="0" fontId="5" fillId="5" borderId="18" applyAlignment="1" pivotButton="0" quotePrefix="0" xfId="0">
      <alignment horizontal="left" vertical="center" wrapText="1"/>
    </xf>
    <xf numFmtId="0" fontId="5" fillId="5" borderId="1" applyAlignment="1" pivotButton="0" quotePrefix="0" xfId="0">
      <alignment horizontal="left" vertical="center" wrapText="1"/>
    </xf>
    <xf numFmtId="0" fontId="5" fillId="0" borderId="22" applyAlignment="1" pivotButton="0" quotePrefix="0" xfId="0">
      <alignment horizontal="left" vertical="center" wrapText="1"/>
    </xf>
    <xf numFmtId="0" fontId="0" fillId="0" borderId="23" pivotButton="0" quotePrefix="0" xfId="0"/>
    <xf numFmtId="0" fontId="0" fillId="0" borderId="24" pivotButton="0" quotePrefix="0" xfId="0"/>
    <xf numFmtId="0" fontId="5" fillId="0" borderId="25" applyAlignment="1" pivotButton="0" quotePrefix="0" xfId="0">
      <alignment horizontal="left" vertical="center" wrapText="1"/>
    </xf>
    <xf numFmtId="0" fontId="0" fillId="0" borderId="26" pivotButton="0" quotePrefix="0" xfId="0"/>
    <xf numFmtId="0" fontId="5" fillId="5" borderId="22" applyAlignment="1" pivotButton="0" quotePrefix="0" xfId="0">
      <alignment horizontal="left" vertical="center" wrapText="1"/>
    </xf>
    <xf numFmtId="0" fontId="5" fillId="5" borderId="25" applyAlignment="1" pivotButton="0" quotePrefix="0" xfId="0">
      <alignment horizontal="left" vertical="center" wrapText="1"/>
    </xf>
    <xf numFmtId="0" fontId="6" fillId="2" borderId="6" applyAlignment="1" pivotButton="0" quotePrefix="0" xfId="0">
      <alignment horizontal="center" vertical="center" wrapText="1"/>
    </xf>
    <xf numFmtId="0" fontId="0" fillId="0" borderId="10" pivotButton="0" quotePrefix="0" xfId="0"/>
    <xf numFmtId="0" fontId="0" fillId="0" borderId="11" pivotButton="0" quotePrefix="0" xfId="0"/>
    <xf numFmtId="0" fontId="7" fillId="6" borderId="9" applyAlignment="1" pivotButton="0" quotePrefix="0" xfId="0">
      <alignment horizontal="left" vertical="center" wrapText="1"/>
    </xf>
    <xf numFmtId="0" fontId="0" fillId="0" borderId="12" pivotButton="0" quotePrefix="0" xfId="0"/>
    <xf numFmtId="0" fontId="0" fillId="0" borderId="13" pivotButton="0" quotePrefix="0" xfId="0"/>
    <xf numFmtId="0" fontId="5" fillId="0" borderId="9" applyAlignment="1" pivotButton="0" quotePrefix="0" xfId="0">
      <alignment horizontal="left" vertical="center" wrapText="1"/>
    </xf>
    <xf numFmtId="0" fontId="7" fillId="3" borderId="9" applyAlignment="1" pivotButton="0" quotePrefix="0" xfId="0">
      <alignment horizontal="center" vertical="center" wrapText="1"/>
    </xf>
    <xf numFmtId="0" fontId="7" fillId="3" borderId="34" applyAlignment="1" pivotButton="0" quotePrefix="0" xfId="0">
      <alignment horizontal="center" vertical="center" wrapText="1"/>
    </xf>
    <xf numFmtId="0" fontId="0" fillId="0" borderId="36" pivotButton="0" quotePrefix="0" xfId="0"/>
    <xf numFmtId="0" fontId="0" fillId="0" borderId="27" pivotButton="0" quotePrefix="0" xfId="0"/>
    <xf numFmtId="0" fontId="0" fillId="0" borderId="28" pivotButton="0" quotePrefix="0" xfId="0"/>
    <xf numFmtId="0" fontId="7" fillId="6" borderId="1" applyAlignment="1" pivotButton="0" quotePrefix="0" xfId="0">
      <alignment horizontal="left" vertical="center" wrapText="1"/>
    </xf>
    <xf numFmtId="0" fontId="7" fillId="4" borderId="1" applyAlignment="1" pivotButton="0" quotePrefix="0" xfId="0">
      <alignment horizontal="center" vertical="center" wrapText="1"/>
    </xf>
    <xf numFmtId="0" fontId="7" fillId="4" borderId="37" applyAlignment="1" pivotButton="0" quotePrefix="0" xfId="0">
      <alignment horizontal="center" vertical="center" wrapText="1"/>
    </xf>
    <xf numFmtId="0" fontId="0" fillId="0" borderId="39" pivotButton="0" quotePrefix="0" xfId="0"/>
    <xf numFmtId="0" fontId="0" fillId="0" borderId="29" pivotButton="0" quotePrefix="0" xfId="0"/>
    <xf numFmtId="0" fontId="0" fillId="0" borderId="30" pivotButton="0" quotePrefix="0" xfId="0"/>
    <xf numFmtId="0" fontId="0" fillId="0" borderId="31" pivotButton="0" quotePrefix="0" xfId="0"/>
    <xf numFmtId="0" fontId="7" fillId="6" borderId="25" applyAlignment="1" pivotButton="0" quotePrefix="0" xfId="0">
      <alignment horizontal="left" vertical="center" wrapText="1"/>
    </xf>
    <xf numFmtId="0" fontId="0" fillId="0" borderId="32" pivotButton="0" quotePrefix="0" xfId="0"/>
    <xf numFmtId="0" fontId="0" fillId="0" borderId="33" pivotButton="0" quotePrefix="0" xfId="0"/>
    <xf numFmtId="0" fontId="5" fillId="0" borderId="25" applyAlignment="1" pivotButton="0" quotePrefix="0" xfId="0">
      <alignment horizontal="center" vertical="center" wrapText="1"/>
    </xf>
    <xf numFmtId="0" fontId="5" fillId="0" borderId="40" applyAlignment="1" pivotButton="0" quotePrefix="0" xfId="0">
      <alignment horizontal="center" vertical="center" wrapText="1"/>
    </xf>
    <xf numFmtId="0" fontId="0" fillId="0" borderId="41" pivotButton="0" quotePrefix="0" xfId="0"/>
    <xf numFmtId="0" fontId="7" fillId="4" borderId="14" applyAlignment="1" pivotButton="0" quotePrefix="0" xfId="0">
      <alignment horizontal="center" vertical="center" wrapText="1"/>
    </xf>
    <xf numFmtId="0" fontId="7" fillId="4" borderId="9" applyAlignment="1" pivotButton="0" quotePrefix="0" xfId="0">
      <alignment horizontal="center" vertical="center" wrapText="1"/>
    </xf>
    <xf numFmtId="0" fontId="7" fillId="4" borderId="34" applyAlignment="1" pivotButton="0" quotePrefix="0" xfId="0">
      <alignment horizontal="center" vertical="center" wrapText="1"/>
    </xf>
    <xf numFmtId="0" fontId="0" fillId="0" borderId="35" pivotButton="0" quotePrefix="0" xfId="0"/>
    <xf numFmtId="0" fontId="0" fillId="0" borderId="42" pivotButton="0" quotePrefix="0" xfId="0"/>
    <xf numFmtId="0" fontId="0" fillId="0" borderId="43" pivotButton="0" quotePrefix="0" xfId="0"/>
    <xf numFmtId="0" fontId="0" fillId="0" borderId="45" pivotButton="0" quotePrefix="0" xfId="0"/>
    <xf numFmtId="0" fontId="0" fillId="0" borderId="46" pivotButton="0" quotePrefix="0" xfId="0"/>
    <xf numFmtId="0" fontId="0" fillId="0" borderId="48" pivotButton="0" quotePrefix="0" xfId="0"/>
    <xf numFmtId="0" fontId="5" fillId="0" borderId="18" applyAlignment="1" pivotButton="0" quotePrefix="0" xfId="0">
      <alignment horizontal="center" vertical="center" wrapText="1"/>
    </xf>
    <xf numFmtId="0" fontId="5" fillId="0" borderId="1" applyAlignment="1" pivotButton="0" quotePrefix="0" xfId="0">
      <alignment horizontal="left" vertical="top" wrapText="1"/>
    </xf>
    <xf numFmtId="0" fontId="5" fillId="0" borderId="1" applyAlignment="1" pivotButton="0" quotePrefix="0" xfId="0">
      <alignment horizontal="center" vertical="center" wrapText="1"/>
    </xf>
    <xf numFmtId="0" fontId="5" fillId="0" borderId="37" applyAlignment="1" pivotButton="0" quotePrefix="0" xfId="0">
      <alignment horizontal="left" vertical="top" wrapText="1"/>
    </xf>
    <xf numFmtId="0" fontId="5" fillId="5" borderId="18" applyAlignment="1" pivotButton="0" quotePrefix="0" xfId="0">
      <alignment horizontal="center" vertical="center" wrapText="1"/>
    </xf>
    <xf numFmtId="0" fontId="5" fillId="5" borderId="1" applyAlignment="1" pivotButton="0" quotePrefix="0" xfId="0">
      <alignment horizontal="left" vertical="top" wrapText="1"/>
    </xf>
    <xf numFmtId="0" fontId="5" fillId="5" borderId="1" applyAlignment="1" pivotButton="0" quotePrefix="0" xfId="0">
      <alignment horizontal="center" vertical="center" wrapText="1"/>
    </xf>
    <xf numFmtId="0" fontId="5" fillId="5" borderId="37" applyAlignment="1" pivotButton="0" quotePrefix="0" xfId="0">
      <alignment horizontal="left" vertical="top" wrapText="1"/>
    </xf>
    <xf numFmtId="0" fontId="5" fillId="5" borderId="22" applyAlignment="1" pivotButton="0" quotePrefix="0" xfId="0">
      <alignment horizontal="center" vertical="center" wrapText="1"/>
    </xf>
    <xf numFmtId="0" fontId="5" fillId="5" borderId="25" applyAlignment="1" pivotButton="0" quotePrefix="0" xfId="0">
      <alignment horizontal="left" vertical="top" wrapText="1"/>
    </xf>
    <xf numFmtId="0" fontId="5" fillId="5" borderId="25" applyAlignment="1" pivotButton="0" quotePrefix="0" xfId="0">
      <alignment horizontal="center" vertical="center" wrapText="1"/>
    </xf>
    <xf numFmtId="0" fontId="5" fillId="5" borderId="40" applyAlignment="1" pivotButton="0" quotePrefix="0" xfId="0">
      <alignment horizontal="left" vertical="top" wrapText="1"/>
    </xf>
  </cellXfs>
  <cellStyles count="1">
    <cellStyle name="Normal" xfId="0" builtinId="0" hidden="0"/>
  </cellStyles>
  <dxfs count="4">
    <dxf>
      <font>
        <name val="Meiryo"/>
        <color rgb="FF006100"/>
        <sz val="9"/>
      </font>
      <fill>
        <patternFill patternType="solid">
          <fgColor rgb="FFC6EFCE"/>
        </patternFill>
      </fill>
    </dxf>
    <dxf>
      <font>
        <name val="Meiryo"/>
        <color rgb="FF9C0006"/>
        <sz val="9"/>
      </font>
      <fill>
        <patternFill patternType="solid">
          <fgColor rgb="FFFFC7CE"/>
        </patternFill>
      </fill>
    </dxf>
    <dxf>
      <font>
        <name val="Meiryo"/>
        <color rgb="FF9C6500"/>
        <sz val="9"/>
      </font>
      <fill>
        <patternFill patternType="solid">
          <fgColor rgb="FFFFEB9C"/>
        </patternFill>
      </fill>
    </dxf>
    <dxf>
      <font>
        <name val="Meiryo"/>
        <color rgb="FF595959"/>
        <sz val="9"/>
      </font>
      <fill>
        <patternFill patternType="solid">
          <fgColor rgb="FF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U19"/>
  <sheetViews>
    <sheetView showGridLines="0" workbookViewId="0">
      <pane ySplit="2" topLeftCell="A3" activePane="bottomLeft" state="frozen"/>
      <selection pane="bottomLeft" activeCell="A1" sqref="A1"/>
    </sheetView>
  </sheetViews>
  <sheetFormatPr baseColWidth="8" defaultRowHeight="15"/>
  <cols>
    <col width="5.5" customWidth="1" min="1" max="1"/>
    <col width="5.5" customWidth="1" min="2" max="2"/>
    <col width="5.5" customWidth="1" min="3" max="3"/>
    <col width="5.5" customWidth="1" min="4" max="4"/>
    <col width="5.5" customWidth="1" min="5" max="5"/>
    <col width="5.5" customWidth="1" min="6" max="6"/>
    <col width="5.5" customWidth="1" min="7" max="7"/>
    <col width="5.5" customWidth="1" min="8" max="8"/>
    <col width="5.5" customWidth="1" min="9" max="9"/>
    <col width="5.5" customWidth="1" min="10" max="10"/>
    <col width="5.5" customWidth="1" min="11" max="11"/>
    <col width="5.5" customWidth="1" min="12" max="12"/>
    <col width="5.5" customWidth="1" min="13" max="13"/>
    <col width="5.5" customWidth="1" min="14" max="14"/>
    <col width="5.5" customWidth="1" min="15" max="15"/>
    <col width="5.5" customWidth="1" min="16" max="16"/>
    <col width="5.5" customWidth="1" min="17" max="17"/>
    <col width="5.5" customWidth="1" min="18" max="18"/>
    <col width="5.5" customWidth="1" min="19" max="19"/>
    <col width="5.5" customWidth="1" min="20" max="20"/>
    <col width="5.5" customWidth="1" min="21" max="21"/>
  </cols>
  <sheetData>
    <row r="1" ht="28" customHeight="1">
      <c r="A1" s="1" t="inlineStr">
        <is>
          <t>TC-UAT-WEB-02 テストケース — VoIPWeb受入テストケース ベトナム語版</t>
        </is>
      </c>
      <c r="B1" s="2" t="n"/>
      <c r="C1" s="2" t="n"/>
      <c r="D1" s="2" t="n"/>
      <c r="E1" s="2" t="n"/>
      <c r="F1" s="2" t="n"/>
      <c r="G1" s="2" t="n"/>
      <c r="H1" s="2" t="n"/>
      <c r="I1" s="2" t="n"/>
      <c r="J1" s="2" t="n"/>
      <c r="K1" s="2" t="n"/>
      <c r="L1" s="2" t="n"/>
      <c r="M1" s="2" t="n"/>
      <c r="N1" s="2" t="n"/>
      <c r="O1" s="2" t="n"/>
      <c r="P1" s="2" t="n"/>
      <c r="Q1" s="2" t="n"/>
      <c r="R1" s="2" t="n"/>
      <c r="S1" s="2" t="n"/>
      <c r="T1" s="2" t="n"/>
      <c r="U1" s="3" t="n"/>
    </row>
    <row r="2">
      <c r="A2" s="4" t="inlineStr">
        <is>
          <t>変更履歴</t>
        </is>
      </c>
      <c r="B2" s="5" t="n"/>
      <c r="C2" s="5" t="n"/>
      <c r="D2" s="5" t="n"/>
      <c r="E2" s="5" t="n"/>
      <c r="F2" s="5" t="n"/>
      <c r="G2" s="5" t="n"/>
      <c r="H2" s="5" t="n"/>
      <c r="I2" s="5" t="n"/>
      <c r="J2" s="5" t="n"/>
      <c r="K2" s="5" t="n"/>
      <c r="L2" s="5" t="n"/>
      <c r="M2" s="5" t="n"/>
      <c r="N2" s="5" t="n"/>
      <c r="O2" s="5" t="n"/>
      <c r="P2" s="5" t="n"/>
      <c r="Q2" s="5" t="n"/>
      <c r="R2" s="5" t="n"/>
      <c r="S2" s="5" t="n"/>
      <c r="T2" s="5" t="n"/>
      <c r="U2" s="6" t="n"/>
    </row>
    <row r="4" ht="22" customHeight="1">
      <c r="A4" s="7" t="inlineStr">
        <is>
          <t>基本情報</t>
        </is>
      </c>
      <c r="B4" s="5" t="n"/>
      <c r="C4" s="5" t="n"/>
      <c r="D4" s="5" t="n"/>
      <c r="E4" s="5" t="n"/>
      <c r="F4" s="5" t="n"/>
      <c r="G4" s="5" t="n"/>
      <c r="H4" s="5" t="n"/>
      <c r="I4" s="5" t="n"/>
      <c r="J4" s="5" t="n"/>
      <c r="K4" s="5" t="n"/>
      <c r="L4" s="5" t="n"/>
      <c r="M4" s="5" t="n"/>
      <c r="N4" s="5" t="n"/>
      <c r="O4" s="5" t="n"/>
      <c r="P4" s="5" t="n"/>
      <c r="Q4" s="5" t="n"/>
      <c r="R4" s="5" t="n"/>
      <c r="S4" s="5" t="n"/>
      <c r="T4" s="5" t="n"/>
      <c r="U4" s="6" t="n"/>
    </row>
    <row r="5" ht="20" customHeight="1">
      <c r="A5" s="8" t="inlineStr">
        <is>
          <t>項目</t>
        </is>
      </c>
      <c r="B5" s="9" t="n"/>
      <c r="C5" s="9" t="n"/>
      <c r="D5" s="9" t="n"/>
      <c r="E5" s="9" t="n"/>
      <c r="F5" s="10" t="n"/>
      <c r="G5" s="11" t="inlineStr">
        <is>
          <t>内容</t>
        </is>
      </c>
      <c r="H5" s="9" t="n"/>
      <c r="I5" s="9" t="n"/>
      <c r="J5" s="9" t="n"/>
      <c r="K5" s="9" t="n"/>
      <c r="L5" s="9" t="n"/>
      <c r="M5" s="9" t="n"/>
      <c r="N5" s="9" t="n"/>
      <c r="O5" s="9" t="n"/>
      <c r="P5" s="9" t="n"/>
      <c r="Q5" s="9" t="n"/>
      <c r="R5" s="9" t="n"/>
      <c r="S5" s="9" t="n"/>
      <c r="T5" s="9" t="n"/>
      <c r="U5" s="12" t="n"/>
    </row>
    <row r="6" ht="20" customHeight="1">
      <c r="A6" s="13" t="inlineStr">
        <is>
          <t>プロジェクト名</t>
        </is>
      </c>
      <c r="B6" s="14" t="n"/>
      <c r="C6" s="14" t="n"/>
      <c r="D6" s="14" t="n"/>
      <c r="E6" s="14" t="n"/>
      <c r="F6" s="15" t="n"/>
      <c r="G6" s="16" t="inlineStr">
        <is>
          <t>ITEC Denwa</t>
        </is>
      </c>
      <c r="H6" s="14" t="n"/>
      <c r="I6" s="14" t="n"/>
      <c r="J6" s="14" t="n"/>
      <c r="K6" s="14" t="n"/>
      <c r="L6" s="14" t="n"/>
      <c r="M6" s="14" t="n"/>
      <c r="N6" s="14" t="n"/>
      <c r="O6" s="14" t="n"/>
      <c r="P6" s="14" t="n"/>
      <c r="Q6" s="14" t="n"/>
      <c r="R6" s="14" t="n"/>
      <c r="S6" s="14" t="n"/>
      <c r="T6" s="14" t="n"/>
      <c r="U6" s="17" t="n"/>
    </row>
    <row r="7" ht="20" customHeight="1">
      <c r="A7" s="18" t="inlineStr">
        <is>
          <t>モジュール名</t>
        </is>
      </c>
      <c r="B7" s="14" t="n"/>
      <c r="C7" s="14" t="n"/>
      <c r="D7" s="14" t="n"/>
      <c r="E7" s="14" t="n"/>
      <c r="F7" s="15" t="n"/>
      <c r="G7" s="19" t="inlineStr">
        <is>
          <t>VoIPWeb</t>
        </is>
      </c>
      <c r="H7" s="14" t="n"/>
      <c r="I7" s="14" t="n"/>
      <c r="J7" s="14" t="n"/>
      <c r="K7" s="14" t="n"/>
      <c r="L7" s="14" t="n"/>
      <c r="M7" s="14" t="n"/>
      <c r="N7" s="14" t="n"/>
      <c r="O7" s="14" t="n"/>
      <c r="P7" s="14" t="n"/>
      <c r="Q7" s="14" t="n"/>
      <c r="R7" s="14" t="n"/>
      <c r="S7" s="14" t="n"/>
      <c r="T7" s="14" t="n"/>
      <c r="U7" s="17" t="n"/>
    </row>
    <row r="8" ht="20" customHeight="1">
      <c r="A8" s="13" t="inlineStr">
        <is>
          <t>テスト段階</t>
        </is>
      </c>
      <c r="B8" s="14" t="n"/>
      <c r="C8" s="14" t="n"/>
      <c r="D8" s="14" t="n"/>
      <c r="E8" s="14" t="n"/>
      <c r="F8" s="15" t="n"/>
      <c r="G8" s="16" t="inlineStr">
        <is>
          <t>受入テスト</t>
        </is>
      </c>
      <c r="H8" s="14" t="n"/>
      <c r="I8" s="14" t="n"/>
      <c r="J8" s="14" t="n"/>
      <c r="K8" s="14" t="n"/>
      <c r="L8" s="14" t="n"/>
      <c r="M8" s="14" t="n"/>
      <c r="N8" s="14" t="n"/>
      <c r="O8" s="14" t="n"/>
      <c r="P8" s="14" t="n"/>
      <c r="Q8" s="14" t="n"/>
      <c r="R8" s="14" t="n"/>
      <c r="S8" s="14" t="n"/>
      <c r="T8" s="14" t="n"/>
      <c r="U8" s="17" t="n"/>
    </row>
    <row r="9" ht="20" customHeight="1">
      <c r="A9" s="18" t="inlineStr">
        <is>
          <t>作成者</t>
        </is>
      </c>
      <c r="B9" s="14" t="n"/>
      <c r="C9" s="14" t="n"/>
      <c r="D9" s="14" t="n"/>
      <c r="E9" s="14" t="n"/>
      <c r="F9" s="15" t="n"/>
      <c r="G9" s="19" t="inlineStr">
        <is>
          <t>VTI-SAM</t>
        </is>
      </c>
      <c r="H9" s="14" t="n"/>
      <c r="I9" s="14" t="n"/>
      <c r="J9" s="14" t="n"/>
      <c r="K9" s="14" t="n"/>
      <c r="L9" s="14" t="n"/>
      <c r="M9" s="14" t="n"/>
      <c r="N9" s="14" t="n"/>
      <c r="O9" s="14" t="n"/>
      <c r="P9" s="14" t="n"/>
      <c r="Q9" s="14" t="n"/>
      <c r="R9" s="14" t="n"/>
      <c r="S9" s="14" t="n"/>
      <c r="T9" s="14" t="n"/>
      <c r="U9" s="17" t="n"/>
    </row>
    <row r="10" ht="20" customHeight="1">
      <c r="A10" s="13" t="inlineStr">
        <is>
          <t>作成日</t>
        </is>
      </c>
      <c r="B10" s="14" t="n"/>
      <c r="C10" s="14" t="n"/>
      <c r="D10" s="14" t="n"/>
      <c r="E10" s="14" t="n"/>
      <c r="F10" s="15" t="n"/>
      <c r="G10" s="16" t="inlineStr">
        <is>
          <t>2026/06/20</t>
        </is>
      </c>
      <c r="H10" s="14" t="n"/>
      <c r="I10" s="14" t="n"/>
      <c r="J10" s="14" t="n"/>
      <c r="K10" s="14" t="n"/>
      <c r="L10" s="14" t="n"/>
      <c r="M10" s="14" t="n"/>
      <c r="N10" s="14" t="n"/>
      <c r="O10" s="14" t="n"/>
      <c r="P10" s="14" t="n"/>
      <c r="Q10" s="14" t="n"/>
      <c r="R10" s="14" t="n"/>
      <c r="S10" s="14" t="n"/>
      <c r="T10" s="14" t="n"/>
      <c r="U10" s="17" t="n"/>
    </row>
    <row r="11" ht="20" customHeight="1">
      <c r="A11" s="18" t="inlineStr">
        <is>
          <t>環境</t>
        </is>
      </c>
      <c r="B11" s="14" t="n"/>
      <c r="C11" s="14" t="n"/>
      <c r="D11" s="14" t="n"/>
      <c r="E11" s="14" t="n"/>
      <c r="F11" s="15" t="n"/>
      <c r="G11" s="19" t="inlineStr">
        <is>
          <t>DEV / PRD</t>
        </is>
      </c>
      <c r="H11" s="14" t="n"/>
      <c r="I11" s="14" t="n"/>
      <c r="J11" s="14" t="n"/>
      <c r="K11" s="14" t="n"/>
      <c r="L11" s="14" t="n"/>
      <c r="M11" s="14" t="n"/>
      <c r="N11" s="14" t="n"/>
      <c r="O11" s="14" t="n"/>
      <c r="P11" s="14" t="n"/>
      <c r="Q11" s="14" t="n"/>
      <c r="R11" s="14" t="n"/>
      <c r="S11" s="14" t="n"/>
      <c r="T11" s="14" t="n"/>
      <c r="U11" s="17" t="n"/>
    </row>
    <row r="12" ht="20" customHeight="1">
      <c r="A12" s="13" t="inlineStr">
        <is>
          <t>入力元</t>
        </is>
      </c>
      <c r="B12" s="14" t="n"/>
      <c r="C12" s="14" t="n"/>
      <c r="D12" s="14" t="n"/>
      <c r="E12" s="14" t="n"/>
      <c r="F12" s="15" t="n"/>
      <c r="G12" s="16" t="inlineStr">
        <is>
          <t>UAT_VoIP電話ウェブ側テストケース.xlsx</t>
        </is>
      </c>
      <c r="H12" s="14" t="n"/>
      <c r="I12" s="14" t="n"/>
      <c r="J12" s="14" t="n"/>
      <c r="K12" s="14" t="n"/>
      <c r="L12" s="14" t="n"/>
      <c r="M12" s="14" t="n"/>
      <c r="N12" s="14" t="n"/>
      <c r="O12" s="14" t="n"/>
      <c r="P12" s="14" t="n"/>
      <c r="Q12" s="14" t="n"/>
      <c r="R12" s="14" t="n"/>
      <c r="S12" s="14" t="n"/>
      <c r="T12" s="14" t="n"/>
      <c r="U12" s="17" t="n"/>
    </row>
    <row r="13" ht="20" customHeight="1">
      <c r="A13" s="18" t="inlineStr">
        <is>
          <t>件数</t>
        </is>
      </c>
      <c r="B13" s="14" t="n"/>
      <c r="C13" s="14" t="n"/>
      <c r="D13" s="14" t="n"/>
      <c r="E13" s="14" t="n"/>
      <c r="F13" s="15" t="n"/>
      <c r="G13" s="19" t="inlineStr">
        <is>
          <t>104件</t>
        </is>
      </c>
      <c r="H13" s="14" t="n"/>
      <c r="I13" s="14" t="n"/>
      <c r="J13" s="14" t="n"/>
      <c r="K13" s="14" t="n"/>
      <c r="L13" s="14" t="n"/>
      <c r="M13" s="14" t="n"/>
      <c r="N13" s="14" t="n"/>
      <c r="O13" s="14" t="n"/>
      <c r="P13" s="14" t="n"/>
      <c r="Q13" s="14" t="n"/>
      <c r="R13" s="14" t="n"/>
      <c r="S13" s="14" t="n"/>
      <c r="T13" s="14" t="n"/>
      <c r="U13" s="17" t="n"/>
    </row>
    <row r="14" ht="20" customHeight="1">
      <c r="A14" s="20" t="inlineStr">
        <is>
          <t>文書ID</t>
        </is>
      </c>
      <c r="B14" s="21" t="n"/>
      <c r="C14" s="21" t="n"/>
      <c r="D14" s="21" t="n"/>
      <c r="E14" s="21" t="n"/>
      <c r="F14" s="22" t="n"/>
      <c r="G14" s="23" t="inlineStr">
        <is>
          <t>TC-UAT-WEB-02</t>
        </is>
      </c>
      <c r="H14" s="21" t="n"/>
      <c r="I14" s="21" t="n"/>
      <c r="J14" s="21" t="n"/>
      <c r="K14" s="21" t="n"/>
      <c r="L14" s="21" t="n"/>
      <c r="M14" s="21" t="n"/>
      <c r="N14" s="21" t="n"/>
      <c r="O14" s="21" t="n"/>
      <c r="P14" s="21" t="n"/>
      <c r="Q14" s="21" t="n"/>
      <c r="R14" s="21" t="n"/>
      <c r="S14" s="21" t="n"/>
      <c r="T14" s="21" t="n"/>
      <c r="U14" s="24" t="n"/>
    </row>
    <row r="16" ht="22" customHeight="1">
      <c r="A16" s="7" t="inlineStr">
        <is>
          <t>更新履歴</t>
        </is>
      </c>
      <c r="B16" s="5" t="n"/>
      <c r="C16" s="5" t="n"/>
      <c r="D16" s="5" t="n"/>
      <c r="E16" s="5" t="n"/>
      <c r="F16" s="5" t="n"/>
      <c r="G16" s="5" t="n"/>
      <c r="H16" s="5" t="n"/>
      <c r="I16" s="5" t="n"/>
      <c r="J16" s="5" t="n"/>
      <c r="K16" s="5" t="n"/>
      <c r="L16" s="5" t="n"/>
      <c r="M16" s="5" t="n"/>
      <c r="N16" s="5" t="n"/>
      <c r="O16" s="5" t="n"/>
      <c r="P16" s="5" t="n"/>
      <c r="Q16" s="5" t="n"/>
      <c r="R16" s="5" t="n"/>
      <c r="S16" s="5" t="n"/>
      <c r="T16" s="5" t="n"/>
      <c r="U16" s="6" t="n"/>
    </row>
    <row r="17" ht="20" customHeight="1">
      <c r="A17" s="8" t="inlineStr">
        <is>
          <t>バージョン</t>
        </is>
      </c>
      <c r="B17" s="9" t="n"/>
      <c r="C17" s="10" t="n"/>
      <c r="D17" s="11" t="inlineStr">
        <is>
          <t>依頼者</t>
        </is>
      </c>
      <c r="E17" s="9" t="n"/>
      <c r="F17" s="10" t="n"/>
      <c r="G17" s="11" t="inlineStr">
        <is>
          <t>更新者</t>
        </is>
      </c>
      <c r="H17" s="9" t="n"/>
      <c r="I17" s="10" t="n"/>
      <c r="J17" s="11" t="inlineStr">
        <is>
          <t>更新日時</t>
        </is>
      </c>
      <c r="K17" s="9" t="n"/>
      <c r="L17" s="10" t="n"/>
      <c r="M17" s="11" t="inlineStr">
        <is>
          <t>変更理由</t>
        </is>
      </c>
      <c r="N17" s="9" t="n"/>
      <c r="O17" s="10" t="n"/>
      <c r="P17" s="11" t="inlineStr">
        <is>
          <t>シート名</t>
        </is>
      </c>
      <c r="Q17" s="9" t="n"/>
      <c r="R17" s="10" t="n"/>
      <c r="S17" s="11" t="inlineStr">
        <is>
          <t>更新内容</t>
        </is>
      </c>
      <c r="T17" s="9" t="n"/>
      <c r="U17" s="12" t="n"/>
    </row>
    <row r="18" ht="45" customHeight="1">
      <c r="A18" s="13" t="inlineStr">
        <is>
          <t>1.0.1</t>
        </is>
      </c>
      <c r="B18" s="14" t="n"/>
      <c r="C18" s="15" t="n"/>
      <c r="D18" s="16" t="inlineStr">
        <is>
          <t>-</t>
        </is>
      </c>
      <c r="E18" s="14" t="n"/>
      <c r="F18" s="15" t="n"/>
      <c r="G18" s="16" t="inlineStr">
        <is>
          <t>VTI-SAM</t>
        </is>
      </c>
      <c r="H18" s="14" t="n"/>
      <c r="I18" s="15" t="n"/>
      <c r="J18" s="16" t="inlineStr">
        <is>
          <t>2026/06/21</t>
        </is>
      </c>
      <c r="K18" s="14" t="n"/>
      <c r="L18" s="15" t="n"/>
      <c r="M18" s="16" t="inlineStr">
        <is>
          <t>環境表記修正</t>
        </is>
      </c>
      <c r="N18" s="14" t="n"/>
      <c r="O18" s="15" t="n"/>
      <c r="P18" s="16" t="inlineStr">
        <is>
          <t>VoIPWeb受入テスト越語版</t>
        </is>
      </c>
      <c r="Q18" s="14" t="n"/>
      <c r="R18" s="15" t="n"/>
      <c r="S18" s="16" t="inlineStr">
        <is>
          <t>第1回をDEV、第2回をPRDとして表記修正</t>
        </is>
      </c>
      <c r="T18" s="14" t="n"/>
      <c r="U18" s="17" t="n"/>
    </row>
    <row r="19" ht="30" customHeight="1">
      <c r="A19" s="25" t="inlineStr">
        <is>
          <t>1.0.0</t>
        </is>
      </c>
      <c r="B19" s="21" t="n"/>
      <c r="C19" s="22" t="n"/>
      <c r="D19" s="26" t="inlineStr">
        <is>
          <t>-</t>
        </is>
      </c>
      <c r="E19" s="21" t="n"/>
      <c r="F19" s="22" t="n"/>
      <c r="G19" s="26" t="inlineStr">
        <is>
          <t>VTI-SAM</t>
        </is>
      </c>
      <c r="H19" s="21" t="n"/>
      <c r="I19" s="22" t="n"/>
      <c r="J19" s="26" t="inlineStr">
        <is>
          <t>2026/06/20 13:33</t>
        </is>
      </c>
      <c r="K19" s="21" t="n"/>
      <c r="L19" s="22" t="n"/>
      <c r="M19" s="26" t="inlineStr">
        <is>
          <t>新規作成</t>
        </is>
      </c>
      <c r="N19" s="21" t="n"/>
      <c r="O19" s="22" t="n"/>
      <c r="P19" s="26" t="inlineStr">
        <is>
          <t>VoIPWeb受入テスト越語版</t>
        </is>
      </c>
      <c r="Q19" s="21" t="n"/>
      <c r="R19" s="22" t="n"/>
      <c r="S19" s="26" t="inlineStr">
        <is>
          <t>UAT元テストケースから104件を正規化</t>
        </is>
      </c>
      <c r="T19" s="21" t="n"/>
      <c r="U19" s="24" t="n"/>
    </row>
  </sheetData>
  <mergeCells count="45">
    <mergeCell ref="G7:U7"/>
    <mergeCell ref="A16:U16"/>
    <mergeCell ref="G19:I19"/>
    <mergeCell ref="G10:U10"/>
    <mergeCell ref="G6:U6"/>
    <mergeCell ref="G13:U13"/>
    <mergeCell ref="D17:F17"/>
    <mergeCell ref="A18:C18"/>
    <mergeCell ref="A12:F12"/>
    <mergeCell ref="P17:R17"/>
    <mergeCell ref="G18:I18"/>
    <mergeCell ref="S19:U19"/>
    <mergeCell ref="A2:U2"/>
    <mergeCell ref="A14:F14"/>
    <mergeCell ref="P19:R19"/>
    <mergeCell ref="A5:F5"/>
    <mergeCell ref="M18:O18"/>
    <mergeCell ref="G14:U14"/>
    <mergeCell ref="A8:F8"/>
    <mergeCell ref="A17:C17"/>
    <mergeCell ref="G5:U5"/>
    <mergeCell ref="M17:O17"/>
    <mergeCell ref="D18:F18"/>
    <mergeCell ref="P18:R18"/>
    <mergeCell ref="A4:U4"/>
    <mergeCell ref="A10:F10"/>
    <mergeCell ref="A19:C19"/>
    <mergeCell ref="M19:O19"/>
    <mergeCell ref="A13:F13"/>
    <mergeCell ref="J18:L18"/>
    <mergeCell ref="A9:F9"/>
    <mergeCell ref="G9:U9"/>
    <mergeCell ref="J17:L17"/>
    <mergeCell ref="G12:U12"/>
    <mergeCell ref="A11:F11"/>
    <mergeCell ref="D19:F19"/>
    <mergeCell ref="G11:U11"/>
    <mergeCell ref="J19:L19"/>
    <mergeCell ref="S18:U18"/>
    <mergeCell ref="A6:F6"/>
    <mergeCell ref="G17:I17"/>
    <mergeCell ref="S17:U17"/>
    <mergeCell ref="A1:U1"/>
    <mergeCell ref="G8:U8"/>
    <mergeCell ref="A7:F7"/>
  </mergeCells>
  <pageMargins left="0.75" right="0.75" top="1" bottom="1" header="0.5" footer="0.5"/>
  <pageSetup orientation="landscape" fitToHeight="0" fitToWidth="1"/>
  <headerFooter>
    <oddHeader>&amp;L&amp;"Meiryo"&amp;9 文書名：TC-UAT-WEB-02 テストケース — VoIPWeb受入テストケース ベトナム語版&amp;C&amp;"Meiryo"&amp;9 作成者：VTI-SAM　図番：-&amp;R&amp;"Meiryo"&amp;9 更新日：2026/06/20</oddHeader>
    <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BK200"/>
  <sheetViews>
    <sheetView showGridLines="0" workbookViewId="0">
      <pane xSplit="30" ySplit="6" topLeftCell="AE7" activePane="bottomRight" state="frozen"/>
      <selection pane="topRight"/>
      <selection pane="bottomLeft"/>
      <selection pane="bottomRight" activeCell="A1" sqref="A1"/>
    </sheetView>
  </sheetViews>
  <sheetFormatPr baseColWidth="8" defaultRowHeight="15"/>
  <cols>
    <col width="5.5" customWidth="1" min="1" max="1"/>
    <col width="5.5" customWidth="1" min="2" max="2"/>
    <col width="5.5" customWidth="1" min="3" max="3"/>
    <col width="5.5" customWidth="1" min="4" max="4"/>
    <col width="5.5" customWidth="1" min="5" max="5"/>
    <col width="5.5" customWidth="1" min="6" max="6"/>
    <col width="5.5" customWidth="1" min="7" max="7"/>
    <col width="5.5" customWidth="1" min="8" max="8"/>
    <col width="5.5" customWidth="1" min="9" max="9"/>
    <col width="5.5" customWidth="1" min="10" max="10"/>
    <col width="5.5" customWidth="1" min="11" max="11"/>
    <col width="5.5" customWidth="1" min="12" max="12"/>
    <col width="5.5" customWidth="1" min="13" max="13"/>
    <col width="5.5" customWidth="1" min="14" max="14"/>
    <col width="5.5" customWidth="1" min="15" max="15"/>
    <col width="5.5" customWidth="1" min="16" max="16"/>
    <col width="5.5" customWidth="1" min="17" max="17"/>
    <col width="5.5" customWidth="1" min="18" max="18"/>
    <col width="5.5" customWidth="1" min="19" max="19"/>
    <col width="5.5" customWidth="1" min="20" max="20"/>
    <col width="5.5" customWidth="1" min="21" max="21"/>
    <col width="5.5" customWidth="1" min="22" max="22"/>
    <col width="5.5" customWidth="1" min="23" max="23"/>
    <col width="5.5" customWidth="1" min="24" max="24"/>
    <col width="5.5" customWidth="1" min="25" max="25"/>
    <col width="5.5" customWidth="1" min="26" max="26"/>
    <col width="5.5" customWidth="1" min="27" max="27"/>
    <col width="5.5" customWidth="1" min="28" max="28"/>
    <col width="5.5" customWidth="1" min="29" max="29"/>
    <col width="5.5" customWidth="1" min="30" max="30"/>
    <col width="5.5" customWidth="1" min="31" max="31"/>
    <col width="5.5" customWidth="1" min="32" max="32"/>
    <col width="5.5" customWidth="1" min="33" max="33"/>
    <col width="5.5" customWidth="1" min="34" max="34"/>
    <col width="5.5" customWidth="1" min="35" max="35"/>
    <col width="5.5" customWidth="1" min="36" max="36"/>
    <col width="5.5" customWidth="1" min="37" max="37"/>
    <col width="5.5" customWidth="1" min="38" max="38"/>
    <col width="5.5" customWidth="1" min="39" max="39"/>
    <col width="5.5" customWidth="1" min="40" max="40"/>
    <col width="5.5" customWidth="1" min="41" max="41"/>
    <col width="5.5" customWidth="1" min="42" max="42"/>
    <col width="5.5" customWidth="1" min="43" max="43"/>
    <col width="5.5" customWidth="1" min="44" max="44"/>
    <col width="5.5" customWidth="1" min="45" max="45"/>
    <col width="5.5" customWidth="1" min="46" max="46"/>
    <col width="5.5" customWidth="1" min="47" max="47"/>
    <col width="5.5" customWidth="1" min="48" max="48"/>
    <col width="5.5" customWidth="1" min="49" max="49"/>
    <col width="5.5" customWidth="1" min="50" max="50"/>
    <col width="5.5" customWidth="1" min="51" max="51"/>
    <col width="5.5" customWidth="1" min="52" max="52"/>
    <col width="5.5" customWidth="1" min="53" max="53"/>
    <col width="5.5" customWidth="1" min="54" max="54"/>
    <col width="5.5" customWidth="1" min="55" max="55"/>
    <col width="5.5" customWidth="1" min="56" max="56"/>
    <col width="5.5" customWidth="1" min="57" max="57"/>
    <col width="5.5" customWidth="1" min="58" max="58"/>
    <col width="5.5" customWidth="1" min="59" max="59"/>
    <col width="5.5" customWidth="1" min="60" max="60"/>
    <col width="5.5" customWidth="1" min="61" max="61"/>
    <col width="5.5" customWidth="1" min="62" max="62"/>
    <col width="5.5" customWidth="1" min="63" max="63"/>
  </cols>
  <sheetData>
    <row r="1">
      <c r="A1" s="27" t="inlineStr">
        <is>
          <t>VoIPWeb受入テスト越語版</t>
        </is>
      </c>
      <c r="B1" s="28" t="n"/>
      <c r="C1" s="28" t="n"/>
      <c r="D1" s="28" t="n"/>
      <c r="E1" s="28" t="n"/>
      <c r="F1" s="28" t="n"/>
      <c r="G1" s="28" t="n"/>
      <c r="H1" s="28" t="n"/>
      <c r="I1" s="28" t="n"/>
      <c r="J1" s="29" t="n"/>
      <c r="K1" s="30" t="inlineStr">
        <is>
          <t>モジュール：</t>
        </is>
      </c>
      <c r="L1" s="31" t="n"/>
      <c r="M1" s="31" t="n"/>
      <c r="N1" s="31" t="n"/>
      <c r="O1" s="32" t="n"/>
      <c r="P1" s="33" t="inlineStr">
        <is>
          <t>VoIPWeb</t>
        </is>
      </c>
      <c r="Q1" s="31" t="n"/>
      <c r="R1" s="31" t="n"/>
      <c r="S1" s="31" t="n"/>
      <c r="T1" s="32" t="n"/>
      <c r="U1" s="30" t="inlineStr">
        <is>
          <t>作成者：</t>
        </is>
      </c>
      <c r="V1" s="31" t="n"/>
      <c r="W1" s="31" t="n"/>
      <c r="X1" s="31" t="n"/>
      <c r="Y1" s="32" t="n"/>
      <c r="Z1" s="33" t="inlineStr">
        <is>
          <t>VTI-SAM</t>
        </is>
      </c>
      <c r="AA1" s="31" t="n"/>
      <c r="AB1" s="31" t="n"/>
      <c r="AC1" s="31" t="n"/>
      <c r="AD1" s="32" t="n"/>
      <c r="AE1" s="34" t="inlineStr">
        <is>
          <t>Priority</t>
        </is>
      </c>
      <c r="AF1" s="31" t="n"/>
      <c r="AG1" s="31" t="n"/>
      <c r="AH1" s="31" t="n"/>
      <c r="AI1" s="31" t="n"/>
      <c r="AJ1" s="31" t="n"/>
      <c r="AK1" s="31" t="n"/>
      <c r="AL1" s="32" t="n"/>
      <c r="AM1" s="34" t="inlineStr">
        <is>
          <t>第1回（DEV）</t>
        </is>
      </c>
      <c r="AN1" s="31" t="n"/>
      <c r="AO1" s="31" t="n"/>
      <c r="AP1" s="31" t="n"/>
      <c r="AQ1" s="31" t="n"/>
      <c r="AR1" s="31" t="n"/>
      <c r="AS1" s="31" t="n"/>
      <c r="AT1" s="31" t="n"/>
      <c r="AU1" s="31" t="n"/>
      <c r="AV1" s="31" t="n"/>
      <c r="AW1" s="31" t="n"/>
      <c r="AX1" s="32" t="n"/>
      <c r="AY1" s="35" t="inlineStr">
        <is>
          <t>第2回（PRD）</t>
        </is>
      </c>
      <c r="AZ1" s="31" t="n"/>
      <c r="BA1" s="31" t="n"/>
      <c r="BB1" s="31" t="n"/>
      <c r="BC1" s="31" t="n"/>
      <c r="BD1" s="31" t="n"/>
      <c r="BE1" s="31" t="n"/>
      <c r="BF1" s="31" t="n"/>
      <c r="BG1" s="31" t="n"/>
      <c r="BH1" s="31" t="n"/>
      <c r="BI1" s="31" t="n"/>
      <c r="BJ1" s="31" t="n"/>
      <c r="BK1" s="36" t="n"/>
    </row>
    <row r="2">
      <c r="A2" s="37" t="n"/>
      <c r="J2" s="38" t="n"/>
      <c r="K2" s="39" t="inlineStr">
        <is>
          <t>プロジェクト名：</t>
        </is>
      </c>
      <c r="L2" s="5" t="n"/>
      <c r="M2" s="5" t="n"/>
      <c r="N2" s="5" t="n"/>
      <c r="O2" s="6" t="n"/>
      <c r="P2" s="16" t="inlineStr">
        <is>
          <t>ITEC Denwa</t>
        </is>
      </c>
      <c r="Q2" s="5" t="n"/>
      <c r="R2" s="5" t="n"/>
      <c r="S2" s="5" t="n"/>
      <c r="T2" s="6" t="n"/>
      <c r="U2" s="39" t="inlineStr">
        <is>
          <t>作成日：</t>
        </is>
      </c>
      <c r="V2" s="5" t="n"/>
      <c r="W2" s="5" t="n"/>
      <c r="X2" s="5" t="n"/>
      <c r="Y2" s="6" t="n"/>
      <c r="Z2" s="16" t="inlineStr">
        <is>
          <t>2026/06/20</t>
        </is>
      </c>
      <c r="AA2" s="5" t="n"/>
      <c r="AB2" s="5" t="n"/>
      <c r="AC2" s="5" t="n"/>
      <c r="AD2" s="6" t="n"/>
      <c r="AE2" s="40" t="inlineStr">
        <is>
          <t>Normal</t>
        </is>
      </c>
      <c r="AF2" s="6" t="n"/>
      <c r="AG2" s="40" t="inlineStr">
        <is>
          <t>Abnormal</t>
        </is>
      </c>
      <c r="AH2" s="6" t="n"/>
      <c r="AI2" s="40" t="inlineStr">
        <is>
          <t>Boundary</t>
        </is>
      </c>
      <c r="AJ2" s="6" t="n"/>
      <c r="AK2" s="40" t="inlineStr">
        <is>
          <t>Total</t>
        </is>
      </c>
      <c r="AL2" s="6" t="n"/>
      <c r="AM2" s="40" t="inlineStr">
        <is>
          <t>Pass</t>
        </is>
      </c>
      <c r="AN2" s="6" t="n"/>
      <c r="AO2" s="40" t="inlineStr">
        <is>
          <t>Fail</t>
        </is>
      </c>
      <c r="AP2" s="6" t="n"/>
      <c r="AQ2" s="40" t="inlineStr">
        <is>
          <t>N/A</t>
        </is>
      </c>
      <c r="AR2" s="6" t="n"/>
      <c r="AS2" s="40" t="inlineStr">
        <is>
          <t>Pending</t>
        </is>
      </c>
      <c r="AT2" s="6" t="n"/>
      <c r="AU2" s="40" t="inlineStr">
        <is>
          <t>% coverage</t>
        </is>
      </c>
      <c r="AV2" s="6" t="n"/>
      <c r="AW2" s="40" t="inlineStr">
        <is>
          <t>Pass coverage</t>
        </is>
      </c>
      <c r="AX2" s="6" t="n"/>
      <c r="AY2" s="40" t="inlineStr">
        <is>
          <t>Pass</t>
        </is>
      </c>
      <c r="AZ2" s="6" t="n"/>
      <c r="BA2" s="40" t="inlineStr">
        <is>
          <t>Fail</t>
        </is>
      </c>
      <c r="BB2" s="6" t="n"/>
      <c r="BC2" s="40" t="inlineStr">
        <is>
          <t>N/A</t>
        </is>
      </c>
      <c r="BD2" s="6" t="n"/>
      <c r="BE2" s="40" t="inlineStr">
        <is>
          <t>Pending</t>
        </is>
      </c>
      <c r="BF2" s="6" t="n"/>
      <c r="BG2" s="40" t="inlineStr">
        <is>
          <t>% coverage</t>
        </is>
      </c>
      <c r="BH2" s="6" t="n"/>
      <c r="BI2" s="41" t="inlineStr">
        <is>
          <t>Pass coverage</t>
        </is>
      </c>
      <c r="BJ2" s="5" t="n"/>
      <c r="BK2" s="42" t="n"/>
    </row>
    <row r="3">
      <c r="A3" s="43" t="n"/>
      <c r="B3" s="44" t="n"/>
      <c r="C3" s="44" t="n"/>
      <c r="D3" s="44" t="n"/>
      <c r="E3" s="44" t="n"/>
      <c r="F3" s="44" t="n"/>
      <c r="G3" s="44" t="n"/>
      <c r="H3" s="44" t="n"/>
      <c r="I3" s="44" t="n"/>
      <c r="J3" s="45" t="n"/>
      <c r="K3" s="46" t="inlineStr">
        <is>
          <t>段階：</t>
        </is>
      </c>
      <c r="L3" s="47" t="n"/>
      <c r="M3" s="47" t="n"/>
      <c r="N3" s="47" t="n"/>
      <c r="O3" s="48" t="n"/>
      <c r="P3" s="23" t="inlineStr">
        <is>
          <t>受入テスト</t>
        </is>
      </c>
      <c r="Q3" s="47" t="n"/>
      <c r="R3" s="47" t="n"/>
      <c r="S3" s="47" t="n"/>
      <c r="T3" s="48" t="n"/>
      <c r="U3" s="46" t="inlineStr">
        <is>
          <t>環境：</t>
        </is>
      </c>
      <c r="V3" s="47" t="n"/>
      <c r="W3" s="47" t="n"/>
      <c r="X3" s="47" t="n"/>
      <c r="Y3" s="48" t="n"/>
      <c r="Z3" s="23" t="inlineStr">
        <is>
          <t>DEV / PRD</t>
        </is>
      </c>
      <c r="AA3" s="47" t="n"/>
      <c r="AB3" s="47" t="n"/>
      <c r="AC3" s="47" t="n"/>
      <c r="AD3" s="48" t="n"/>
      <c r="AE3" s="49">
        <f>COUNTIF(AE7:AE200,"N")</f>
        <v/>
      </c>
      <c r="AF3" s="48" t="n"/>
      <c r="AG3" s="49">
        <f>COUNTIF(AE7:AE200,"A")</f>
        <v/>
      </c>
      <c r="AH3" s="48" t="n"/>
      <c r="AI3" s="49">
        <f>COUNTIF(AE7:AE200,"B")</f>
        <v/>
      </c>
      <c r="AJ3" s="48" t="n"/>
      <c r="AK3" s="49">
        <f>AE3+AG3+AI3</f>
        <v/>
      </c>
      <c r="AL3" s="48" t="n"/>
      <c r="AM3" s="49">
        <f>COUNTIF(AI7:AI200,"Pass")</f>
        <v/>
      </c>
      <c r="AN3" s="48" t="n"/>
      <c r="AO3" s="49">
        <f>COUNTIF(AI7:AI200,"Fail")</f>
        <v/>
      </c>
      <c r="AP3" s="48" t="n"/>
      <c r="AQ3" s="49">
        <f>COUNTIF(AI7:AI200,"N/A")</f>
        <v/>
      </c>
      <c r="AR3" s="48" t="n"/>
      <c r="AS3" s="49">
        <f>COUNTIF(AI7:AI200,"Pending")</f>
        <v/>
      </c>
      <c r="AT3" s="48" t="n"/>
      <c r="AU3" s="49">
        <f>IFERROR((AM3+AO3)/(AK3-AQ3),"N/A")</f>
        <v/>
      </c>
      <c r="AV3" s="48" t="n"/>
      <c r="AW3" s="49">
        <f>IFERROR(AM3/AK3,"N/A")</f>
        <v/>
      </c>
      <c r="AX3" s="48" t="n"/>
      <c r="AY3" s="49">
        <f>COUNTIF(AW7:AW200,"Pass")</f>
        <v/>
      </c>
      <c r="AZ3" s="48" t="n"/>
      <c r="BA3" s="49">
        <f>COUNTIF(AW7:AW200,"Fail")</f>
        <v/>
      </c>
      <c r="BB3" s="48" t="n"/>
      <c r="BC3" s="49">
        <f>COUNTIF(AW7:AW200,"N/A")</f>
        <v/>
      </c>
      <c r="BD3" s="48" t="n"/>
      <c r="BE3" s="49">
        <f>COUNTIF(AW7:AW200,"Pending")</f>
        <v/>
      </c>
      <c r="BF3" s="48" t="n"/>
      <c r="BG3" s="49">
        <f>IFERROR((AY3+BA3)/(AK3-BC3),"N/A")</f>
        <v/>
      </c>
      <c r="BH3" s="48" t="n"/>
      <c r="BI3" s="50">
        <f>IFERROR(AY3/AK3,"N/A")</f>
        <v/>
      </c>
      <c r="BJ3" s="47" t="n"/>
      <c r="BK3" s="51" t="n"/>
    </row>
    <row r="5">
      <c r="A5" s="52" t="inlineStr">
        <is>
          <t>ID</t>
        </is>
      </c>
      <c r="B5" s="29" t="n"/>
      <c r="C5" s="53" t="inlineStr">
        <is>
          <t>画面/機能カテゴリ</t>
        </is>
      </c>
      <c r="D5" s="28" t="n"/>
      <c r="E5" s="28" t="n"/>
      <c r="F5" s="29" t="n"/>
      <c r="G5" s="53" t="inlineStr">
        <is>
          <t>大項目</t>
        </is>
      </c>
      <c r="H5" s="28" t="n"/>
      <c r="I5" s="29" t="n"/>
      <c r="J5" s="53" t="inlineStr">
        <is>
          <t>中項目</t>
        </is>
      </c>
      <c r="K5" s="28" t="n"/>
      <c r="L5" s="29" t="n"/>
      <c r="M5" s="53" t="inlineStr">
        <is>
          <t>前提条件</t>
        </is>
      </c>
      <c r="N5" s="28" t="n"/>
      <c r="O5" s="28" t="n"/>
      <c r="P5" s="28" t="n"/>
      <c r="Q5" s="29" t="n"/>
      <c r="R5" s="53" t="inlineStr">
        <is>
          <t>実行手順（テスト手順）</t>
        </is>
      </c>
      <c r="S5" s="28" t="n"/>
      <c r="T5" s="28" t="n"/>
      <c r="U5" s="28" t="n"/>
      <c r="V5" s="28" t="n"/>
      <c r="W5" s="28" t="n"/>
      <c r="X5" s="29" t="n"/>
      <c r="Y5" s="53" t="inlineStr">
        <is>
          <t>期待される結果</t>
        </is>
      </c>
      <c r="Z5" s="28" t="n"/>
      <c r="AA5" s="28" t="n"/>
      <c r="AB5" s="28" t="n"/>
      <c r="AC5" s="28" t="n"/>
      <c r="AD5" s="29" t="n"/>
      <c r="AE5" s="53" t="inlineStr">
        <is>
          <t>種別</t>
        </is>
      </c>
      <c r="AF5" s="29" t="n"/>
      <c r="AG5" s="34" t="inlineStr">
        <is>
          <t>テスト結果 - 第1回（DEV）</t>
        </is>
      </c>
      <c r="AH5" s="31" t="n"/>
      <c r="AI5" s="31" t="n"/>
      <c r="AJ5" s="31" t="n"/>
      <c r="AK5" s="31" t="n"/>
      <c r="AL5" s="31" t="n"/>
      <c r="AM5" s="31" t="n"/>
      <c r="AN5" s="31" t="n"/>
      <c r="AO5" s="31" t="n"/>
      <c r="AP5" s="31" t="n"/>
      <c r="AQ5" s="31" t="n"/>
      <c r="AR5" s="31" t="n"/>
      <c r="AS5" s="31" t="n"/>
      <c r="AT5" s="32" t="n"/>
      <c r="AU5" s="34" t="inlineStr">
        <is>
          <t>テスト結果 - 第2回（PRD）</t>
        </is>
      </c>
      <c r="AV5" s="31" t="n"/>
      <c r="AW5" s="31" t="n"/>
      <c r="AX5" s="31" t="n"/>
      <c r="AY5" s="31" t="n"/>
      <c r="AZ5" s="31" t="n"/>
      <c r="BA5" s="31" t="n"/>
      <c r="BB5" s="31" t="n"/>
      <c r="BC5" s="31" t="n"/>
      <c r="BD5" s="31" t="n"/>
      <c r="BE5" s="31" t="n"/>
      <c r="BF5" s="31" t="n"/>
      <c r="BG5" s="31" t="n"/>
      <c r="BH5" s="32" t="n"/>
      <c r="BI5" s="54" t="inlineStr">
        <is>
          <t>備考</t>
        </is>
      </c>
      <c r="BJ5" s="28" t="n"/>
      <c r="BK5" s="55" t="n"/>
    </row>
    <row r="6">
      <c r="A6" s="56" t="n"/>
      <c r="B6" s="57" t="n"/>
      <c r="C6" s="58" t="n"/>
      <c r="D6" s="59" t="n"/>
      <c r="E6" s="59" t="n"/>
      <c r="F6" s="57" t="n"/>
      <c r="G6" s="58" t="n"/>
      <c r="H6" s="59" t="n"/>
      <c r="I6" s="57" t="n"/>
      <c r="J6" s="58" t="n"/>
      <c r="K6" s="59" t="n"/>
      <c r="L6" s="57" t="n"/>
      <c r="M6" s="58" t="n"/>
      <c r="N6" s="59" t="n"/>
      <c r="O6" s="59" t="n"/>
      <c r="P6" s="59" t="n"/>
      <c r="Q6" s="57" t="n"/>
      <c r="R6" s="58" t="n"/>
      <c r="S6" s="59" t="n"/>
      <c r="T6" s="59" t="n"/>
      <c r="U6" s="59" t="n"/>
      <c r="V6" s="59" t="n"/>
      <c r="W6" s="59" t="n"/>
      <c r="X6" s="57" t="n"/>
      <c r="Y6" s="58" t="n"/>
      <c r="Z6" s="59" t="n"/>
      <c r="AA6" s="59" t="n"/>
      <c r="AB6" s="59" t="n"/>
      <c r="AC6" s="59" t="n"/>
      <c r="AD6" s="57" t="n"/>
      <c r="AE6" s="58" t="n"/>
      <c r="AF6" s="57" t="n"/>
      <c r="AG6" s="40" t="inlineStr">
        <is>
          <t>バグID</t>
        </is>
      </c>
      <c r="AH6" s="6" t="n"/>
      <c r="AI6" s="40" t="inlineStr">
        <is>
          <t>結果</t>
        </is>
      </c>
      <c r="AJ6" s="6" t="n"/>
      <c r="AK6" s="40" t="inlineStr">
        <is>
          <t>テスター</t>
        </is>
      </c>
      <c r="AL6" s="6" t="n"/>
      <c r="AM6" s="40" t="inlineStr">
        <is>
          <t>日付</t>
        </is>
      </c>
      <c r="AN6" s="5" t="n"/>
      <c r="AO6" s="6" t="n"/>
      <c r="AP6" s="40" t="inlineStr">
        <is>
          <t>EVD</t>
        </is>
      </c>
      <c r="AQ6" s="6" t="n"/>
      <c r="AR6" s="40" t="inlineStr">
        <is>
          <t>メモ</t>
        </is>
      </c>
      <c r="AS6" s="5" t="n"/>
      <c r="AT6" s="6" t="n"/>
      <c r="AU6" s="40" t="inlineStr">
        <is>
          <t>バグID</t>
        </is>
      </c>
      <c r="AV6" s="6" t="n"/>
      <c r="AW6" s="40" t="inlineStr">
        <is>
          <t>結果</t>
        </is>
      </c>
      <c r="AX6" s="6" t="n"/>
      <c r="AY6" s="40" t="inlineStr">
        <is>
          <t>テスター</t>
        </is>
      </c>
      <c r="AZ6" s="6" t="n"/>
      <c r="BA6" s="40" t="inlineStr">
        <is>
          <t>日付</t>
        </is>
      </c>
      <c r="BB6" s="5" t="n"/>
      <c r="BC6" s="6" t="n"/>
      <c r="BD6" s="40" t="inlineStr">
        <is>
          <t>EVD</t>
        </is>
      </c>
      <c r="BE6" s="6" t="n"/>
      <c r="BF6" s="40" t="inlineStr">
        <is>
          <t>メモ</t>
        </is>
      </c>
      <c r="BG6" s="5" t="n"/>
      <c r="BH6" s="6" t="n"/>
      <c r="BI6" s="58" t="n"/>
      <c r="BJ6" s="59" t="n"/>
      <c r="BK6" s="60" t="n"/>
    </row>
    <row r="7" ht="90" customHeight="1">
      <c r="A7" s="61" t="inlineStr">
        <is>
          <t>UAT-WEB-001</t>
        </is>
      </c>
      <c r="B7" s="6" t="n"/>
      <c r="C7" s="62" t="inlineStr">
        <is>
          <t>Quản trị viên hệ thống</t>
        </is>
      </c>
      <c r="D7" s="5" t="n"/>
      <c r="E7" s="5" t="n"/>
      <c r="F7" s="6" t="n"/>
      <c r="G7" s="62" t="inlineStr">
        <is>
          <t>Đăng nhập và bảo mật</t>
        </is>
      </c>
      <c r="H7" s="5" t="n"/>
      <c r="I7" s="6" t="n"/>
      <c r="J7" s="62" t="inlineStr">
        <is>
          <t>Quản trị viên hệ thống đăng nhập thành công (IP whitelist)</t>
        </is>
      </c>
      <c r="K7" s="5" t="n"/>
      <c r="L7" s="6" t="n"/>
      <c r="M7" s="62" t="inlineStr">
        <is>
          <t>Tài khoản quản trị viên hệ thống hợp lệ. IP đã được đăng ký trong whitelist.</t>
        </is>
      </c>
      <c r="N7" s="5" t="n"/>
      <c r="O7" s="5" t="n"/>
      <c r="P7" s="5" t="n"/>
      <c r="Q7" s="6" t="n"/>
      <c r="R7" s="62" t="inlineStr">
        <is>
          <t>① 第1回（DEV）: truy cập https://dev.apl.purattocall.com/admin/login
第2回（PRD）: truy cập https://apl.purattocall.com/admin/login
② Nhập email và mật khẩu hợp lệ
③ Nhấn "ログイン"</t>
        </is>
      </c>
      <c r="S7" s="5" t="n"/>
      <c r="T7" s="5" t="n"/>
      <c r="U7" s="5" t="n"/>
      <c r="V7" s="5" t="n"/>
      <c r="W7" s="5" t="n"/>
      <c r="X7" s="6" t="n"/>
      <c r="Y7" s="62" t="inlineStr">
        <is>
          <t>Chuyển trực tiếp đến màn hình danh sách tenant và màn hình OTP không hiển thị.</t>
        </is>
      </c>
      <c r="Z7" s="5" t="n"/>
      <c r="AA7" s="5" t="n"/>
      <c r="AB7" s="5" t="n"/>
      <c r="AC7" s="5" t="n"/>
      <c r="AD7" s="6" t="n"/>
      <c r="AE7" s="63" t="inlineStr">
        <is>
          <t>H</t>
        </is>
      </c>
      <c r="AF7" s="6" t="n"/>
      <c r="AG7" s="63" t="n"/>
      <c r="AH7" s="6" t="n"/>
      <c r="AI7" s="63" t="n"/>
      <c r="AJ7" s="6" t="n"/>
      <c r="AK7" s="63" t="n"/>
      <c r="AL7" s="6" t="n"/>
      <c r="AM7" s="63" t="n"/>
      <c r="AN7" s="5" t="n"/>
      <c r="AO7" s="6" t="n"/>
      <c r="AP7" s="63" t="n"/>
      <c r="AQ7" s="6" t="n"/>
      <c r="AR7" s="62" t="n"/>
      <c r="AS7" s="5" t="n"/>
      <c r="AT7" s="6" t="n"/>
      <c r="AU7" s="63" t="n"/>
      <c r="AV7" s="6" t="n"/>
      <c r="AW7" s="63" t="n"/>
      <c r="AX7" s="6" t="n"/>
      <c r="AY7" s="63" t="n"/>
      <c r="AZ7" s="6" t="n"/>
      <c r="BA7" s="63" t="n"/>
      <c r="BB7" s="5" t="n"/>
      <c r="BC7" s="6" t="n"/>
      <c r="BD7" s="63" t="n"/>
      <c r="BE7" s="6" t="n"/>
      <c r="BF7" s="62" t="n"/>
      <c r="BG7" s="5" t="n"/>
      <c r="BH7" s="6" t="n"/>
      <c r="BI7" s="64" t="n"/>
      <c r="BJ7" s="5" t="n"/>
      <c r="BK7" s="42" t="n"/>
    </row>
    <row r="8" ht="60" customHeight="1">
      <c r="A8" s="65" t="inlineStr">
        <is>
          <t>UAT-WEB-002</t>
        </is>
      </c>
      <c r="B8" s="6" t="n"/>
      <c r="C8" s="66" t="inlineStr">
        <is>
          <t>Quản trị viên hệ thống</t>
        </is>
      </c>
      <c r="D8" s="5" t="n"/>
      <c r="E8" s="5" t="n"/>
      <c r="F8" s="6" t="n"/>
      <c r="G8" s="66" t="inlineStr">
        <is>
          <t>Đăng nhập và bảo mật</t>
        </is>
      </c>
      <c r="H8" s="5" t="n"/>
      <c r="I8" s="6" t="n"/>
      <c r="J8" s="66" t="inlineStr">
        <is>
          <t>Đăng nhập thất bại - sai mật khẩu</t>
        </is>
      </c>
      <c r="K8" s="5" t="n"/>
      <c r="L8" s="6" t="n"/>
      <c r="M8" s="66" t="inlineStr">
        <is>
          <t>Trong hệ thống có tài khoản hợp lệ.</t>
        </is>
      </c>
      <c r="N8" s="5" t="n"/>
      <c r="O8" s="5" t="n"/>
      <c r="P8" s="5" t="n"/>
      <c r="Q8" s="6" t="n"/>
      <c r="R8" s="66" t="inlineStr">
        <is>
          <t>① Nhập email đúng và mật khẩu sai
② Nhấn "ログイン"</t>
        </is>
      </c>
      <c r="S8" s="5" t="n"/>
      <c r="T8" s="5" t="n"/>
      <c r="U8" s="5" t="n"/>
      <c r="V8" s="5" t="n"/>
      <c r="W8" s="5" t="n"/>
      <c r="X8" s="6" t="n"/>
      <c r="Y8" s="66" t="inlineStr">
        <is>
          <t>Thông báo lỗi hiển thị và màn hình không chuyển. Nếu nhập sai 5 lần liên tiếp, tài khoản bị khóa.</t>
        </is>
      </c>
      <c r="Z8" s="5" t="n"/>
      <c r="AA8" s="5" t="n"/>
      <c r="AB8" s="5" t="n"/>
      <c r="AC8" s="5" t="n"/>
      <c r="AD8" s="6" t="n"/>
      <c r="AE8" s="67" t="inlineStr">
        <is>
          <t>H</t>
        </is>
      </c>
      <c r="AF8" s="6" t="n"/>
      <c r="AG8" s="67" t="n"/>
      <c r="AH8" s="6" t="n"/>
      <c r="AI8" s="67" t="n"/>
      <c r="AJ8" s="6" t="n"/>
      <c r="AK8" s="67" t="n"/>
      <c r="AL8" s="6" t="n"/>
      <c r="AM8" s="67" t="n"/>
      <c r="AN8" s="5" t="n"/>
      <c r="AO8" s="6" t="n"/>
      <c r="AP8" s="67" t="n"/>
      <c r="AQ8" s="6" t="n"/>
      <c r="AR8" s="66" t="n"/>
      <c r="AS8" s="5" t="n"/>
      <c r="AT8" s="6" t="n"/>
      <c r="AU8" s="67" t="n"/>
      <c r="AV8" s="6" t="n"/>
      <c r="AW8" s="67" t="n"/>
      <c r="AX8" s="6" t="n"/>
      <c r="AY8" s="67" t="n"/>
      <c r="AZ8" s="6" t="n"/>
      <c r="BA8" s="67" t="n"/>
      <c r="BB8" s="5" t="n"/>
      <c r="BC8" s="6" t="n"/>
      <c r="BD8" s="67" t="n"/>
      <c r="BE8" s="6" t="n"/>
      <c r="BF8" s="66" t="n"/>
      <c r="BG8" s="5" t="n"/>
      <c r="BH8" s="6" t="n"/>
      <c r="BI8" s="68" t="n"/>
      <c r="BJ8" s="5" t="n"/>
      <c r="BK8" s="42" t="n"/>
    </row>
    <row r="9" ht="45" customHeight="1">
      <c r="A9" s="61" t="inlineStr">
        <is>
          <t>UAT-WEB-003</t>
        </is>
      </c>
      <c r="B9" s="6" t="n"/>
      <c r="C9" s="62" t="inlineStr">
        <is>
          <t>Quản trị viên hệ thống</t>
        </is>
      </c>
      <c r="D9" s="5" t="n"/>
      <c r="E9" s="5" t="n"/>
      <c r="F9" s="6" t="n"/>
      <c r="G9" s="62" t="inlineStr">
        <is>
          <t>Đăng nhập và bảo mật</t>
        </is>
      </c>
      <c r="H9" s="5" t="n"/>
      <c r="I9" s="6" t="n"/>
      <c r="J9" s="62" t="inlineStr">
        <is>
          <t>Đăng nhập thất bại - IP ngoài whitelist (quản trị viên hệ thống/Okada Denki)</t>
        </is>
      </c>
      <c r="K9" s="5" t="n"/>
      <c r="L9" s="6" t="n"/>
      <c r="M9" s="62" t="inlineStr">
        <is>
          <t>IP hiện tại chưa được đăng ký trong whitelist.</t>
        </is>
      </c>
      <c r="N9" s="5" t="n"/>
      <c r="O9" s="5" t="n"/>
      <c r="P9" s="5" t="n"/>
      <c r="Q9" s="6" t="n"/>
      <c r="R9" s="62" t="inlineStr">
        <is>
          <t>① Nhập thông tin đăng nhập hợp lệ của quản trị viên hệ thống
② Nhấn "ログイン"</t>
        </is>
      </c>
      <c r="S9" s="5" t="n"/>
      <c r="T9" s="5" t="n"/>
      <c r="U9" s="5" t="n"/>
      <c r="V9" s="5" t="n"/>
      <c r="W9" s="5" t="n"/>
      <c r="X9" s="6" t="n"/>
      <c r="Y9" s="62" t="inlineStr">
        <is>
          <t>Thông báo lỗi IP không được phép hiển thị và truy cập bị từ chối.</t>
        </is>
      </c>
      <c r="Z9" s="5" t="n"/>
      <c r="AA9" s="5" t="n"/>
      <c r="AB9" s="5" t="n"/>
      <c r="AC9" s="5" t="n"/>
      <c r="AD9" s="6" t="n"/>
      <c r="AE9" s="63" t="inlineStr">
        <is>
          <t>M</t>
        </is>
      </c>
      <c r="AF9" s="6" t="n"/>
      <c r="AG9" s="63" t="n"/>
      <c r="AH9" s="6" t="n"/>
      <c r="AI9" s="63" t="n"/>
      <c r="AJ9" s="6" t="n"/>
      <c r="AK9" s="63" t="n"/>
      <c r="AL9" s="6" t="n"/>
      <c r="AM9" s="63" t="n"/>
      <c r="AN9" s="5" t="n"/>
      <c r="AO9" s="6" t="n"/>
      <c r="AP9" s="63" t="n"/>
      <c r="AQ9" s="6" t="n"/>
      <c r="AR9" s="62" t="n"/>
      <c r="AS9" s="5" t="n"/>
      <c r="AT9" s="6" t="n"/>
      <c r="AU9" s="63" t="n"/>
      <c r="AV9" s="6" t="n"/>
      <c r="AW9" s="63" t="n"/>
      <c r="AX9" s="6" t="n"/>
      <c r="AY9" s="63" t="n"/>
      <c r="AZ9" s="6" t="n"/>
      <c r="BA9" s="63" t="n"/>
      <c r="BB9" s="5" t="n"/>
      <c r="BC9" s="6" t="n"/>
      <c r="BD9" s="63" t="n"/>
      <c r="BE9" s="6" t="n"/>
      <c r="BF9" s="62" t="n"/>
      <c r="BG9" s="5" t="n"/>
      <c r="BH9" s="6" t="n"/>
      <c r="BI9" s="64" t="n"/>
      <c r="BJ9" s="5" t="n"/>
      <c r="BK9" s="42" t="n"/>
    </row>
    <row r="10" ht="150" customHeight="1">
      <c r="A10" s="65" t="inlineStr">
        <is>
          <t>UAT-WEB-004</t>
        </is>
      </c>
      <c r="B10" s="6" t="n"/>
      <c r="C10" s="66" t="inlineStr">
        <is>
          <t>Quản trị viên hệ thống</t>
        </is>
      </c>
      <c r="D10" s="5" t="n"/>
      <c r="E10" s="5" t="n"/>
      <c r="F10" s="6" t="n"/>
      <c r="G10" s="66" t="inlineStr">
        <is>
          <t>Đăng nhập và bảo mật</t>
        </is>
      </c>
      <c r="H10" s="5" t="n"/>
      <c r="I10" s="6" t="n"/>
      <c r="J10" s="66" t="inlineStr">
        <is>
          <t>Đổi mật khẩu thành công</t>
        </is>
      </c>
      <c r="K10" s="5" t="n"/>
      <c r="L10" s="6" t="n"/>
      <c r="M10" s="66" t="inlineStr">
        <is>
          <t>Đã đăng nhập bằng một role bất kỳ.</t>
        </is>
      </c>
      <c r="N10" s="5" t="n"/>
      <c r="O10" s="5" t="n"/>
      <c r="P10" s="5" t="n"/>
      <c r="Q10" s="6" t="n"/>
      <c r="R10" s="66" t="inlineStr">
        <is>
          <t>① Nhấn tên người dùng ở góc trên bên phải, sau đó nhấn "パスワード変更"
② Nhập mật khẩu hiện tại
③ Nhập mật khẩu mới (tối thiểu 8 ký tự, có chữ hoa, số và ký tự đặc biệt)
④ Nhập lại mật khẩu mới để xác nhận
⑤ Nhấn "確認"</t>
        </is>
      </c>
      <c r="S10" s="5" t="n"/>
      <c r="T10" s="5" t="n"/>
      <c r="U10" s="5" t="n"/>
      <c r="V10" s="5" t="n"/>
      <c r="W10" s="5" t="n"/>
      <c r="X10" s="6" t="n"/>
      <c r="Y10" s="66" t="inlineStr">
        <is>
          <t>Mật khẩu được cập nhật thành công và có thể đăng nhập bằng mật khẩu mới.</t>
        </is>
      </c>
      <c r="Z10" s="5" t="n"/>
      <c r="AA10" s="5" t="n"/>
      <c r="AB10" s="5" t="n"/>
      <c r="AC10" s="5" t="n"/>
      <c r="AD10" s="6" t="n"/>
      <c r="AE10" s="67" t="inlineStr">
        <is>
          <t>H</t>
        </is>
      </c>
      <c r="AF10" s="6" t="n"/>
      <c r="AG10" s="67" t="n"/>
      <c r="AH10" s="6" t="n"/>
      <c r="AI10" s="67" t="n"/>
      <c r="AJ10" s="6" t="n"/>
      <c r="AK10" s="67" t="n"/>
      <c r="AL10" s="6" t="n"/>
      <c r="AM10" s="67" t="n"/>
      <c r="AN10" s="5" t="n"/>
      <c r="AO10" s="6" t="n"/>
      <c r="AP10" s="67" t="n"/>
      <c r="AQ10" s="6" t="n"/>
      <c r="AR10" s="66" t="n"/>
      <c r="AS10" s="5" t="n"/>
      <c r="AT10" s="6" t="n"/>
      <c r="AU10" s="67" t="n"/>
      <c r="AV10" s="6" t="n"/>
      <c r="AW10" s="67" t="n"/>
      <c r="AX10" s="6" t="n"/>
      <c r="AY10" s="67" t="n"/>
      <c r="AZ10" s="6" t="n"/>
      <c r="BA10" s="67" t="n"/>
      <c r="BB10" s="5" t="n"/>
      <c r="BC10" s="6" t="n"/>
      <c r="BD10" s="67" t="n"/>
      <c r="BE10" s="6" t="n"/>
      <c r="BF10" s="66" t="n"/>
      <c r="BG10" s="5" t="n"/>
      <c r="BH10" s="6" t="n"/>
      <c r="BI10" s="68" t="n"/>
      <c r="BJ10" s="5" t="n"/>
      <c r="BK10" s="42" t="n"/>
    </row>
    <row r="11" ht="75" customHeight="1">
      <c r="A11" s="61" t="inlineStr">
        <is>
          <t>UAT-WEB-005</t>
        </is>
      </c>
      <c r="B11" s="6" t="n"/>
      <c r="C11" s="62" t="inlineStr">
        <is>
          <t>Quản trị viên hệ thống</t>
        </is>
      </c>
      <c r="D11" s="5" t="n"/>
      <c r="E11" s="5" t="n"/>
      <c r="F11" s="6" t="n"/>
      <c r="G11" s="62" t="inlineStr">
        <is>
          <t>Đăng nhập và bảo mật</t>
        </is>
      </c>
      <c r="H11" s="5" t="n"/>
      <c r="I11" s="6" t="n"/>
      <c r="J11" s="62" t="inlineStr">
        <is>
          <t>Đổi mật khẩu thất bại - mật khẩu mới không đáp ứng điều kiện</t>
        </is>
      </c>
      <c r="K11" s="5" t="n"/>
      <c r="L11" s="6" t="n"/>
      <c r="M11" s="62" t="inlineStr">
        <is>
          <t>Đã đăng nhập.</t>
        </is>
      </c>
      <c r="N11" s="5" t="n"/>
      <c r="O11" s="5" t="n"/>
      <c r="P11" s="5" t="n"/>
      <c r="Q11" s="6" t="n"/>
      <c r="R11" s="62" t="inlineStr">
        <is>
          <t>① Nhấn "パスワード変更"
② Nhập mật khẩu mới chỉ gồm chữ thường (không có chữ hoa, số và ký tự đặc biệt)
③ Nhấn "確認"</t>
        </is>
      </c>
      <c r="S11" s="5" t="n"/>
      <c r="T11" s="5" t="n"/>
      <c r="U11" s="5" t="n"/>
      <c r="V11" s="5" t="n"/>
      <c r="W11" s="5" t="n"/>
      <c r="X11" s="6" t="n"/>
      <c r="Y11" s="62" t="inlineStr">
        <is>
          <t>Lỗi validation hiển thị và mật khẩu không được cập nhật.</t>
        </is>
      </c>
      <c r="Z11" s="5" t="n"/>
      <c r="AA11" s="5" t="n"/>
      <c r="AB11" s="5" t="n"/>
      <c r="AC11" s="5" t="n"/>
      <c r="AD11" s="6" t="n"/>
      <c r="AE11" s="63" t="inlineStr">
        <is>
          <t>M</t>
        </is>
      </c>
      <c r="AF11" s="6" t="n"/>
      <c r="AG11" s="63" t="n"/>
      <c r="AH11" s="6" t="n"/>
      <c r="AI11" s="63" t="n"/>
      <c r="AJ11" s="6" t="n"/>
      <c r="AK11" s="63" t="n"/>
      <c r="AL11" s="6" t="n"/>
      <c r="AM11" s="63" t="n"/>
      <c r="AN11" s="5" t="n"/>
      <c r="AO11" s="6" t="n"/>
      <c r="AP11" s="63" t="n"/>
      <c r="AQ11" s="6" t="n"/>
      <c r="AR11" s="62" t="n"/>
      <c r="AS11" s="5" t="n"/>
      <c r="AT11" s="6" t="n"/>
      <c r="AU11" s="63" t="n"/>
      <c r="AV11" s="6" t="n"/>
      <c r="AW11" s="63" t="n"/>
      <c r="AX11" s="6" t="n"/>
      <c r="AY11" s="63" t="n"/>
      <c r="AZ11" s="6" t="n"/>
      <c r="BA11" s="63" t="n"/>
      <c r="BB11" s="5" t="n"/>
      <c r="BC11" s="6" t="n"/>
      <c r="BD11" s="63" t="n"/>
      <c r="BE11" s="6" t="n"/>
      <c r="BF11" s="62" t="n"/>
      <c r="BG11" s="5" t="n"/>
      <c r="BH11" s="6" t="n"/>
      <c r="BI11" s="64" t="n"/>
      <c r="BJ11" s="5" t="n"/>
      <c r="BK11" s="42" t="n"/>
    </row>
    <row r="12" ht="105" customHeight="1">
      <c r="A12" s="65" t="inlineStr">
        <is>
          <t>UAT-WEB-006</t>
        </is>
      </c>
      <c r="B12" s="6" t="n"/>
      <c r="C12" s="66" t="inlineStr">
        <is>
          <t>Quản trị viên hệ thống</t>
        </is>
      </c>
      <c r="D12" s="5" t="n"/>
      <c r="E12" s="5" t="n"/>
      <c r="F12" s="6" t="n"/>
      <c r="G12" s="66" t="inlineStr">
        <is>
          <t>Đăng nhập và bảo mật</t>
        </is>
      </c>
      <c r="H12" s="5" t="n"/>
      <c r="I12" s="6" t="n"/>
      <c r="J12" s="66" t="inlineStr">
        <is>
          <t>Khôi phục mật khẩu bằng OTP qua email</t>
        </is>
      </c>
      <c r="K12" s="5" t="n"/>
      <c r="L12" s="6" t="n"/>
      <c r="M12" s="66" t="inlineStr">
        <is>
          <t>Trong hệ thống có tài khoản.</t>
        </is>
      </c>
      <c r="N12" s="5" t="n"/>
      <c r="O12" s="5" t="n"/>
      <c r="P12" s="5" t="n"/>
      <c r="Q12" s="6" t="n"/>
      <c r="R12" s="66" t="inlineStr">
        <is>
          <t>① Nhấn "パスワードをお忘れの方"
② Nhập email đã đăng ký
③ Nhấn "送信"
④ Nhập mật khẩu mới
⑤ Nhấn "コード送信"
⑥ Nhập OTP nhận được qua email và nhấn "確認"</t>
        </is>
      </c>
      <c r="S12" s="5" t="n"/>
      <c r="T12" s="5" t="n"/>
      <c r="U12" s="5" t="n"/>
      <c r="V12" s="5" t="n"/>
      <c r="W12" s="5" t="n"/>
      <c r="X12" s="6" t="n"/>
      <c r="Y12" s="66" t="inlineStr">
        <is>
          <t>Mật khẩu được đặt lại thành công và có thể đăng nhập bằng mật khẩu mới.</t>
        </is>
      </c>
      <c r="Z12" s="5" t="n"/>
      <c r="AA12" s="5" t="n"/>
      <c r="AB12" s="5" t="n"/>
      <c r="AC12" s="5" t="n"/>
      <c r="AD12" s="6" t="n"/>
      <c r="AE12" s="67" t="inlineStr">
        <is>
          <t>H</t>
        </is>
      </c>
      <c r="AF12" s="6" t="n"/>
      <c r="AG12" s="67" t="n"/>
      <c r="AH12" s="6" t="n"/>
      <c r="AI12" s="67" t="n"/>
      <c r="AJ12" s="6" t="n"/>
      <c r="AK12" s="67" t="n"/>
      <c r="AL12" s="6" t="n"/>
      <c r="AM12" s="67" t="n"/>
      <c r="AN12" s="5" t="n"/>
      <c r="AO12" s="6" t="n"/>
      <c r="AP12" s="67" t="n"/>
      <c r="AQ12" s="6" t="n"/>
      <c r="AR12" s="66" t="n"/>
      <c r="AS12" s="5" t="n"/>
      <c r="AT12" s="6" t="n"/>
      <c r="AU12" s="67" t="n"/>
      <c r="AV12" s="6" t="n"/>
      <c r="AW12" s="67" t="n"/>
      <c r="AX12" s="6" t="n"/>
      <c r="AY12" s="67" t="n"/>
      <c r="AZ12" s="6" t="n"/>
      <c r="BA12" s="67" t="n"/>
      <c r="BB12" s="5" t="n"/>
      <c r="BC12" s="6" t="n"/>
      <c r="BD12" s="67" t="n"/>
      <c r="BE12" s="6" t="n"/>
      <c r="BF12" s="66" t="n"/>
      <c r="BG12" s="5" t="n"/>
      <c r="BH12" s="6" t="n"/>
      <c r="BI12" s="68" t="n"/>
      <c r="BJ12" s="5" t="n"/>
      <c r="BK12" s="42" t="n"/>
    </row>
    <row r="13" ht="135" customHeight="1">
      <c r="A13" s="61" t="inlineStr">
        <is>
          <t>UAT-WEB-007</t>
        </is>
      </c>
      <c r="B13" s="6" t="n"/>
      <c r="C13" s="62" t="inlineStr">
        <is>
          <t>Quản trị viên hệ thống</t>
        </is>
      </c>
      <c r="D13" s="5" t="n"/>
      <c r="E13" s="5" t="n"/>
      <c r="F13" s="6" t="n"/>
      <c r="G13" s="62" t="inlineStr">
        <is>
          <t>Đăng nhập và bảo mật</t>
        </is>
      </c>
      <c r="H13" s="5" t="n"/>
      <c r="I13" s="6" t="n"/>
      <c r="J13" s="62" t="inlineStr">
        <is>
          <t>Nhập sai OTP 5 lần liên tiếp khi đặt lại mật khẩu</t>
        </is>
      </c>
      <c r="K13" s="5" t="n"/>
      <c r="L13" s="6" t="n"/>
      <c r="M13" s="62" t="inlineStr">
        <is>
          <t>Trong hệ thống có tài khoản hợp lệ.</t>
        </is>
      </c>
      <c r="N13" s="5" t="n"/>
      <c r="O13" s="5" t="n"/>
      <c r="P13" s="5" t="n"/>
      <c r="Q13" s="6" t="n"/>
      <c r="R13" s="62" t="inlineStr">
        <is>
          <t>① Nhấn "パスワードをお忘れの方"
② Nhập email đã đăng ký
③ Nhấn "送信"
④ Nhập mật khẩu mới
⑤ Nhấn "コード送信"
⑥ Nhập mã OTP không hợp lệ
⑦ Nhấn nút "確認" 5 lần liên tiếp</t>
        </is>
      </c>
      <c r="S13" s="5" t="n"/>
      <c r="T13" s="5" t="n"/>
      <c r="U13" s="5" t="n"/>
      <c r="V13" s="5" t="n"/>
      <c r="W13" s="5" t="n"/>
      <c r="X13" s="6" t="n"/>
      <c r="Y13" s="62" t="inlineStr">
        <is>
          <t>Hiển thị lỗi: "認証に失敗しました。誤った入力が多すぎたため、パスワード再設定のリクエストは無効となりました。10分後に再度お試しください。"
Chức năng đặt lại mật khẩu bị khóa trong 10 phút.
Một email thông báo được gửi cho người dùng.</t>
        </is>
      </c>
      <c r="Z13" s="5" t="n"/>
      <c r="AA13" s="5" t="n"/>
      <c r="AB13" s="5" t="n"/>
      <c r="AC13" s="5" t="n"/>
      <c r="AD13" s="6" t="n"/>
      <c r="AE13" s="63" t="inlineStr">
        <is>
          <t>M</t>
        </is>
      </c>
      <c r="AF13" s="6" t="n"/>
      <c r="AG13" s="63" t="n"/>
      <c r="AH13" s="6" t="n"/>
      <c r="AI13" s="63" t="n"/>
      <c r="AJ13" s="6" t="n"/>
      <c r="AK13" s="63" t="n"/>
      <c r="AL13" s="6" t="n"/>
      <c r="AM13" s="63" t="n"/>
      <c r="AN13" s="5" t="n"/>
      <c r="AO13" s="6" t="n"/>
      <c r="AP13" s="63" t="n"/>
      <c r="AQ13" s="6" t="n"/>
      <c r="AR13" s="62" t="n"/>
      <c r="AS13" s="5" t="n"/>
      <c r="AT13" s="6" t="n"/>
      <c r="AU13" s="63" t="n"/>
      <c r="AV13" s="6" t="n"/>
      <c r="AW13" s="63" t="n"/>
      <c r="AX13" s="6" t="n"/>
      <c r="AY13" s="63" t="n"/>
      <c r="AZ13" s="6" t="n"/>
      <c r="BA13" s="63" t="n"/>
      <c r="BB13" s="5" t="n"/>
      <c r="BC13" s="6" t="n"/>
      <c r="BD13" s="63" t="n"/>
      <c r="BE13" s="6" t="n"/>
      <c r="BF13" s="62" t="n"/>
      <c r="BG13" s="5" t="n"/>
      <c r="BH13" s="6" t="n"/>
      <c r="BI13" s="64" t="n"/>
      <c r="BJ13" s="5" t="n"/>
      <c r="BK13" s="42" t="n"/>
    </row>
    <row r="14" ht="90" customHeight="1">
      <c r="A14" s="65" t="inlineStr">
        <is>
          <t>UAT-WEB-008</t>
        </is>
      </c>
      <c r="B14" s="6" t="n"/>
      <c r="C14" s="66" t="inlineStr">
        <is>
          <t>Quản trị viên hệ thống</t>
        </is>
      </c>
      <c r="D14" s="5" t="n"/>
      <c r="E14" s="5" t="n"/>
      <c r="F14" s="6" t="n"/>
      <c r="G14" s="66" t="inlineStr">
        <is>
          <t>Đăng nhập và bảo mật</t>
        </is>
      </c>
      <c r="H14" s="5" t="n"/>
      <c r="I14" s="6" t="n"/>
      <c r="J14" s="66" t="inlineStr">
        <is>
          <t>Thực hiện lại đặt lại mật khẩu trong thời gian khóa sau khi nhập sai OTP 5 lần liên tiếp</t>
        </is>
      </c>
      <c r="K14" s="5" t="n"/>
      <c r="L14" s="6" t="n"/>
      <c r="M14" s="66" t="inlineStr">
        <is>
          <t>Tài khoản đang bị khóa chức năng đặt lại mật khẩu.</t>
        </is>
      </c>
      <c r="N14" s="5" t="n"/>
      <c r="O14" s="5" t="n"/>
      <c r="P14" s="5" t="n"/>
      <c r="Q14" s="6" t="n"/>
      <c r="R14" s="66" t="inlineStr">
        <is>
          <t>① Nhấn "パスワードをお忘れの方"
② Nhập email đã đăng ký
③ Nhấn "送信"</t>
        </is>
      </c>
      <c r="S14" s="5" t="n"/>
      <c r="T14" s="5" t="n"/>
      <c r="U14" s="5" t="n"/>
      <c r="V14" s="5" t="n"/>
      <c r="W14" s="5" t="n"/>
      <c r="X14" s="6" t="n"/>
      <c r="Y14" s="66" t="inlineStr">
        <is>
          <t>Hiển thị lỗi: "あなたのアカウントのパスワードリセット機能が{0}までロックされています。"
{0} hiển thị thời điểm mở khóa chức năng đặt lại mật khẩu (ví dụ: 10:30).</t>
        </is>
      </c>
      <c r="Z14" s="5" t="n"/>
      <c r="AA14" s="5" t="n"/>
      <c r="AB14" s="5" t="n"/>
      <c r="AC14" s="5" t="n"/>
      <c r="AD14" s="6" t="n"/>
      <c r="AE14" s="67" t="inlineStr">
        <is>
          <t>M</t>
        </is>
      </c>
      <c r="AF14" s="6" t="n"/>
      <c r="AG14" s="67" t="n"/>
      <c r="AH14" s="6" t="n"/>
      <c r="AI14" s="67" t="n"/>
      <c r="AJ14" s="6" t="n"/>
      <c r="AK14" s="67" t="n"/>
      <c r="AL14" s="6" t="n"/>
      <c r="AM14" s="67" t="n"/>
      <c r="AN14" s="5" t="n"/>
      <c r="AO14" s="6" t="n"/>
      <c r="AP14" s="67" t="n"/>
      <c r="AQ14" s="6" t="n"/>
      <c r="AR14" s="66" t="n"/>
      <c r="AS14" s="5" t="n"/>
      <c r="AT14" s="6" t="n"/>
      <c r="AU14" s="67" t="n"/>
      <c r="AV14" s="6" t="n"/>
      <c r="AW14" s="67" t="n"/>
      <c r="AX14" s="6" t="n"/>
      <c r="AY14" s="67" t="n"/>
      <c r="AZ14" s="6" t="n"/>
      <c r="BA14" s="67" t="n"/>
      <c r="BB14" s="5" t="n"/>
      <c r="BC14" s="6" t="n"/>
      <c r="BD14" s="67" t="n"/>
      <c r="BE14" s="6" t="n"/>
      <c r="BF14" s="66" t="n"/>
      <c r="BG14" s="5" t="n"/>
      <c r="BH14" s="6" t="n"/>
      <c r="BI14" s="68" t="n"/>
      <c r="BJ14" s="5" t="n"/>
      <c r="BK14" s="42" t="n"/>
    </row>
    <row r="15" ht="75" customHeight="1">
      <c r="A15" s="61" t="inlineStr">
        <is>
          <t>UAT-WEB-009</t>
        </is>
      </c>
      <c r="B15" s="6" t="n"/>
      <c r="C15" s="62" t="inlineStr">
        <is>
          <t>Quản trị viên hệ thống</t>
        </is>
      </c>
      <c r="D15" s="5" t="n"/>
      <c r="E15" s="5" t="n"/>
      <c r="F15" s="6" t="n"/>
      <c r="G15" s="62" t="inlineStr">
        <is>
          <t>Đăng nhập và bảo mật</t>
        </is>
      </c>
      <c r="H15" s="5" t="n"/>
      <c r="I15" s="6" t="n"/>
      <c r="J15" s="62" t="inlineStr">
        <is>
          <t>Đăng nhập thất bại 5 lần liên tiếp</t>
        </is>
      </c>
      <c r="K15" s="5" t="n"/>
      <c r="L15" s="6" t="n"/>
      <c r="M15" s="62" t="inlineStr">
        <is>
          <t>Trong hệ thống có tài khoản hợp lệ.</t>
        </is>
      </c>
      <c r="N15" s="5" t="n"/>
      <c r="O15" s="5" t="n"/>
      <c r="P15" s="5" t="n"/>
      <c r="Q15" s="6" t="n"/>
      <c r="R15" s="62" t="inlineStr">
        <is>
          <t>① Nhập email đúng và mật khẩu sai
② Thực hiện 5 lần liên tiếp
③ Nhấn "ログイン"</t>
        </is>
      </c>
      <c r="S15" s="5" t="n"/>
      <c r="T15" s="5" t="n"/>
      <c r="U15" s="5" t="n"/>
      <c r="V15" s="5" t="n"/>
      <c r="W15" s="5" t="n"/>
      <c r="X15" s="6" t="n"/>
      <c r="Y15" s="62" t="inlineStr">
        <is>
          <t>Nếu nhập sai 5 lần liên tiếp, tài khoản bị khóa.
Có thể đặt lại mật khẩu bằng chức năng đặt lại mật khẩu.</t>
        </is>
      </c>
      <c r="Z15" s="5" t="n"/>
      <c r="AA15" s="5" t="n"/>
      <c r="AB15" s="5" t="n"/>
      <c r="AC15" s="5" t="n"/>
      <c r="AD15" s="6" t="n"/>
      <c r="AE15" s="63" t="inlineStr">
        <is>
          <t>M</t>
        </is>
      </c>
      <c r="AF15" s="6" t="n"/>
      <c r="AG15" s="63" t="n"/>
      <c r="AH15" s="6" t="n"/>
      <c r="AI15" s="63" t="n"/>
      <c r="AJ15" s="6" t="n"/>
      <c r="AK15" s="63" t="n"/>
      <c r="AL15" s="6" t="n"/>
      <c r="AM15" s="63" t="n"/>
      <c r="AN15" s="5" t="n"/>
      <c r="AO15" s="6" t="n"/>
      <c r="AP15" s="63" t="n"/>
      <c r="AQ15" s="6" t="n"/>
      <c r="AR15" s="62" t="n"/>
      <c r="AS15" s="5" t="n"/>
      <c r="AT15" s="6" t="n"/>
      <c r="AU15" s="63" t="n"/>
      <c r="AV15" s="6" t="n"/>
      <c r="AW15" s="63" t="n"/>
      <c r="AX15" s="6" t="n"/>
      <c r="AY15" s="63" t="n"/>
      <c r="AZ15" s="6" t="n"/>
      <c r="BA15" s="63" t="n"/>
      <c r="BB15" s="5" t="n"/>
      <c r="BC15" s="6" t="n"/>
      <c r="BD15" s="63" t="n"/>
      <c r="BE15" s="6" t="n"/>
      <c r="BF15" s="62" t="n"/>
      <c r="BG15" s="5" t="n"/>
      <c r="BH15" s="6" t="n"/>
      <c r="BI15" s="64" t="n"/>
      <c r="BJ15" s="5" t="n"/>
      <c r="BK15" s="42" t="n"/>
    </row>
    <row r="16" ht="165" customHeight="1">
      <c r="A16" s="65" t="inlineStr">
        <is>
          <t>UAT-WEB-010</t>
        </is>
      </c>
      <c r="B16" s="6" t="n"/>
      <c r="C16" s="66" t="inlineStr">
        <is>
          <t>Quản trị viên hệ thống</t>
        </is>
      </c>
      <c r="D16" s="5" t="n"/>
      <c r="E16" s="5" t="n"/>
      <c r="F16" s="6" t="n"/>
      <c r="G16" s="66" t="inlineStr">
        <is>
          <t>Quản lý tenant</t>
        </is>
      </c>
      <c r="H16" s="5" t="n"/>
      <c r="I16" s="6" t="n"/>
      <c r="J16" s="66" t="inlineStr">
        <is>
          <t>Tạo tenant mới - tenant sử dụng điện thoại cố định</t>
        </is>
      </c>
      <c r="K16" s="5" t="n"/>
      <c r="L16" s="6" t="n"/>
      <c r="M16" s="66" t="inlineStr">
        <is>
          <t>Đăng nhập bằng quản trị viên hệ thống.</t>
        </is>
      </c>
      <c r="N16" s="5" t="n"/>
      <c r="O16" s="5" t="n"/>
      <c r="P16" s="5" t="n"/>
      <c r="Q16" s="6" t="n"/>
      <c r="R16" s="66" t="inlineStr">
        <is>
          <t>① Nhấn "テナント作成"
② Tick chọn checkbox "固定電話利用する"
③ Nhập mã tenant trong phạm vi 111-154
④ Nhập tên tenant và logo công ty
⑤ Nhập thông tin hợp đồng và thông tin thanh toán
⑥ Nhập ít nhất 1 quản trị viên tenant
⑦ Nhấn "保存" -&gt; "OK"</t>
        </is>
      </c>
      <c r="S16" s="5" t="n"/>
      <c r="T16" s="5" t="n"/>
      <c r="U16" s="5" t="n"/>
      <c r="V16" s="5" t="n"/>
      <c r="W16" s="5" t="n"/>
      <c r="X16" s="6" t="n"/>
      <c r="Y16" s="66" t="inlineStr">
        <is>
          <t>Tenant được tạo ở trạng thái "登録待ち".
Popup xác nhận upload người dùng hiển thị.
Ghi chú: chức năng upload người dùng được kiểm tra ở testcase "ユーザーインポート" bên dưới.</t>
        </is>
      </c>
      <c r="Z16" s="5" t="n"/>
      <c r="AA16" s="5" t="n"/>
      <c r="AB16" s="5" t="n"/>
      <c r="AC16" s="5" t="n"/>
      <c r="AD16" s="6" t="n"/>
      <c r="AE16" s="67" t="inlineStr">
        <is>
          <t>H</t>
        </is>
      </c>
      <c r="AF16" s="6" t="n"/>
      <c r="AG16" s="67" t="n"/>
      <c r="AH16" s="6" t="n"/>
      <c r="AI16" s="67" t="n"/>
      <c r="AJ16" s="6" t="n"/>
      <c r="AK16" s="67" t="n"/>
      <c r="AL16" s="6" t="n"/>
      <c r="AM16" s="67" t="n"/>
      <c r="AN16" s="5" t="n"/>
      <c r="AO16" s="6" t="n"/>
      <c r="AP16" s="67" t="n"/>
      <c r="AQ16" s="6" t="n"/>
      <c r="AR16" s="66" t="n"/>
      <c r="AS16" s="5" t="n"/>
      <c r="AT16" s="6" t="n"/>
      <c r="AU16" s="67" t="n"/>
      <c r="AV16" s="6" t="n"/>
      <c r="AW16" s="67" t="n"/>
      <c r="AX16" s="6" t="n"/>
      <c r="AY16" s="67" t="n"/>
      <c r="AZ16" s="6" t="n"/>
      <c r="BA16" s="67" t="n"/>
      <c r="BB16" s="5" t="n"/>
      <c r="BC16" s="6" t="n"/>
      <c r="BD16" s="67" t="n"/>
      <c r="BE16" s="6" t="n"/>
      <c r="BF16" s="66" t="n"/>
      <c r="BG16" s="5" t="n"/>
      <c r="BH16" s="6" t="n"/>
      <c r="BI16" s="68" t="n"/>
      <c r="BJ16" s="5" t="n"/>
      <c r="BK16" s="42" t="n"/>
    </row>
    <row r="17" ht="120" customHeight="1">
      <c r="A17" s="61" t="inlineStr">
        <is>
          <t>UAT-WEB-011</t>
        </is>
      </c>
      <c r="B17" s="6" t="n"/>
      <c r="C17" s="62" t="inlineStr">
        <is>
          <t>Quản trị viên hệ thống</t>
        </is>
      </c>
      <c r="D17" s="5" t="n"/>
      <c r="E17" s="5" t="n"/>
      <c r="F17" s="6" t="n"/>
      <c r="G17" s="62" t="inlineStr">
        <is>
          <t>Quản lý tenant</t>
        </is>
      </c>
      <c r="H17" s="5" t="n"/>
      <c r="I17" s="6" t="n"/>
      <c r="J17" s="62" t="inlineStr">
        <is>
          <t>Tạo tenant mới - không sử dụng điện thoại cố định</t>
        </is>
      </c>
      <c r="K17" s="5" t="n"/>
      <c r="L17" s="6" t="n"/>
      <c r="M17" s="62" t="inlineStr">
        <is>
          <t>Đăng nhập bằng quản trị viên hệ thống.</t>
        </is>
      </c>
      <c r="N17" s="5" t="n"/>
      <c r="O17" s="5" t="n"/>
      <c r="P17" s="5" t="n"/>
      <c r="Q17" s="6" t="n"/>
      <c r="R17" s="62" t="inlineStr">
        <is>
          <t>① Nhấn "テナント作成"
② Không tick checkbox "固定電話利用する"
③ Nhập mã tenant trong phạm vi 500-999
④ Nhập tất cả trường bắt buộc
⑤ Nhấn "保存" -&gt; "OK"</t>
        </is>
      </c>
      <c r="S17" s="5" t="n"/>
      <c r="T17" s="5" t="n"/>
      <c r="U17" s="5" t="n"/>
      <c r="V17" s="5" t="n"/>
      <c r="W17" s="5" t="n"/>
      <c r="X17" s="6" t="n"/>
      <c r="Y17" s="62" t="inlineStr">
        <is>
          <t>Tenant được tạo ở trạng thái "登録待ち".
Popup xác nhận upload người dùng hiển thị.
Ghi chú: chức năng upload người dùng được kiểm tra ở testcase "ユーザーインポート" bên dưới.</t>
        </is>
      </c>
      <c r="Z17" s="5" t="n"/>
      <c r="AA17" s="5" t="n"/>
      <c r="AB17" s="5" t="n"/>
      <c r="AC17" s="5" t="n"/>
      <c r="AD17" s="6" t="n"/>
      <c r="AE17" s="63" t="inlineStr">
        <is>
          <t>H</t>
        </is>
      </c>
      <c r="AF17" s="6" t="n"/>
      <c r="AG17" s="63" t="n"/>
      <c r="AH17" s="6" t="n"/>
      <c r="AI17" s="63" t="n"/>
      <c r="AJ17" s="6" t="n"/>
      <c r="AK17" s="63" t="n"/>
      <c r="AL17" s="6" t="n"/>
      <c r="AM17" s="63" t="n"/>
      <c r="AN17" s="5" t="n"/>
      <c r="AO17" s="6" t="n"/>
      <c r="AP17" s="63" t="n"/>
      <c r="AQ17" s="6" t="n"/>
      <c r="AR17" s="62" t="n"/>
      <c r="AS17" s="5" t="n"/>
      <c r="AT17" s="6" t="n"/>
      <c r="AU17" s="63" t="n"/>
      <c r="AV17" s="6" t="n"/>
      <c r="AW17" s="63" t="n"/>
      <c r="AX17" s="6" t="n"/>
      <c r="AY17" s="63" t="n"/>
      <c r="AZ17" s="6" t="n"/>
      <c r="BA17" s="63" t="n"/>
      <c r="BB17" s="5" t="n"/>
      <c r="BC17" s="6" t="n"/>
      <c r="BD17" s="63" t="n"/>
      <c r="BE17" s="6" t="n"/>
      <c r="BF17" s="62" t="n"/>
      <c r="BG17" s="5" t="n"/>
      <c r="BH17" s="6" t="n"/>
      <c r="BI17" s="64" t="n"/>
      <c r="BJ17" s="5" t="n"/>
      <c r="BK17" s="42" t="n"/>
    </row>
    <row r="18" ht="75" customHeight="1">
      <c r="A18" s="65" t="inlineStr">
        <is>
          <t>UAT-WEB-012</t>
        </is>
      </c>
      <c r="B18" s="6" t="n"/>
      <c r="C18" s="66" t="inlineStr">
        <is>
          <t>Quản trị viên hệ thống</t>
        </is>
      </c>
      <c r="D18" s="5" t="n"/>
      <c r="E18" s="5" t="n"/>
      <c r="F18" s="6" t="n"/>
      <c r="G18" s="66" t="inlineStr">
        <is>
          <t>Quản lý tenant</t>
        </is>
      </c>
      <c r="H18" s="5" t="n"/>
      <c r="I18" s="6" t="n"/>
      <c r="J18" s="66" t="inlineStr">
        <is>
          <t>Tạo tenant thất bại - mã tenant ngoài phạm vi (điện thoại cố định)</t>
        </is>
      </c>
      <c r="K18" s="5" t="n"/>
      <c r="L18" s="6" t="n"/>
      <c r="M18" s="66" t="inlineStr">
        <is>
          <t>Đã đăng nhập bằng quản trị viên hệ thống. Đã tick "固定電話利用する".</t>
        </is>
      </c>
      <c r="N18" s="5" t="n"/>
      <c r="O18" s="5" t="n"/>
      <c r="P18" s="5" t="n"/>
      <c r="Q18" s="6" t="n"/>
      <c r="R18" s="66" t="inlineStr">
        <is>
          <t>① Nhấn "テナント作成" và tick checkbox điện thoại cố định
② Nhập mã tenant = 500 (ngoài phạm vi 111-154)
③ Nhấn "保存"</t>
        </is>
      </c>
      <c r="S18" s="5" t="n"/>
      <c r="T18" s="5" t="n"/>
      <c r="U18" s="5" t="n"/>
      <c r="V18" s="5" t="n"/>
      <c r="W18" s="5" t="n"/>
      <c r="X18" s="6" t="n"/>
      <c r="Y18" s="66" t="inlineStr">
        <is>
          <t>Lỗi validation hiển thị và tenant không được tạo.</t>
        </is>
      </c>
      <c r="Z18" s="5" t="n"/>
      <c r="AA18" s="5" t="n"/>
      <c r="AB18" s="5" t="n"/>
      <c r="AC18" s="5" t="n"/>
      <c r="AD18" s="6" t="n"/>
      <c r="AE18" s="67" t="inlineStr">
        <is>
          <t>H</t>
        </is>
      </c>
      <c r="AF18" s="6" t="n"/>
      <c r="AG18" s="67" t="n"/>
      <c r="AH18" s="6" t="n"/>
      <c r="AI18" s="67" t="n"/>
      <c r="AJ18" s="6" t="n"/>
      <c r="AK18" s="67" t="n"/>
      <c r="AL18" s="6" t="n"/>
      <c r="AM18" s="67" t="n"/>
      <c r="AN18" s="5" t="n"/>
      <c r="AO18" s="6" t="n"/>
      <c r="AP18" s="67" t="n"/>
      <c r="AQ18" s="6" t="n"/>
      <c r="AR18" s="66" t="n"/>
      <c r="AS18" s="5" t="n"/>
      <c r="AT18" s="6" t="n"/>
      <c r="AU18" s="67" t="n"/>
      <c r="AV18" s="6" t="n"/>
      <c r="AW18" s="67" t="n"/>
      <c r="AX18" s="6" t="n"/>
      <c r="AY18" s="67" t="n"/>
      <c r="AZ18" s="6" t="n"/>
      <c r="BA18" s="67" t="n"/>
      <c r="BB18" s="5" t="n"/>
      <c r="BC18" s="6" t="n"/>
      <c r="BD18" s="67" t="n"/>
      <c r="BE18" s="6" t="n"/>
      <c r="BF18" s="66" t="n"/>
      <c r="BG18" s="5" t="n"/>
      <c r="BH18" s="6" t="n"/>
      <c r="BI18" s="68" t="n"/>
      <c r="BJ18" s="5" t="n"/>
      <c r="BK18" s="42" t="n"/>
    </row>
    <row r="19" ht="60" customHeight="1">
      <c r="A19" s="61" t="inlineStr">
        <is>
          <t>UAT-WEB-013</t>
        </is>
      </c>
      <c r="B19" s="6" t="n"/>
      <c r="C19" s="62" t="inlineStr">
        <is>
          <t>Quản trị viên hệ thống</t>
        </is>
      </c>
      <c r="D19" s="5" t="n"/>
      <c r="E19" s="5" t="n"/>
      <c r="F19" s="6" t="n"/>
      <c r="G19" s="62" t="inlineStr">
        <is>
          <t>Quản lý tenant</t>
        </is>
      </c>
      <c r="H19" s="5" t="n"/>
      <c r="I19" s="6" t="n"/>
      <c r="J19" s="62" t="inlineStr">
        <is>
          <t>Tạo tenant thất bại - thiếu quản trị viên tenant</t>
        </is>
      </c>
      <c r="K19" s="5" t="n"/>
      <c r="L19" s="6" t="n"/>
      <c r="M19" s="62" t="inlineStr">
        <is>
          <t>Đăng nhập bằng quản trị viên hệ thống.</t>
        </is>
      </c>
      <c r="N19" s="5" t="n"/>
      <c r="O19" s="5" t="n"/>
      <c r="P19" s="5" t="n"/>
      <c r="Q19" s="6" t="n"/>
      <c r="R19" s="62" t="inlineStr">
        <is>
          <t>① Nhập toàn bộ thông tin tenant
② Không nhập thông tin quản trị viên tenant
③ Nhấn "保存"</t>
        </is>
      </c>
      <c r="S19" s="5" t="n"/>
      <c r="T19" s="5" t="n"/>
      <c r="U19" s="5" t="n"/>
      <c r="V19" s="5" t="n"/>
      <c r="W19" s="5" t="n"/>
      <c r="X19" s="6" t="n"/>
      <c r="Y19" s="62" t="inlineStr">
        <is>
          <t>Lỗi validation hiển thị với nội dung bắt buộc nhập ít nhất 1 quản trị viên tenant và tenant không được tạo.</t>
        </is>
      </c>
      <c r="Z19" s="5" t="n"/>
      <c r="AA19" s="5" t="n"/>
      <c r="AB19" s="5" t="n"/>
      <c r="AC19" s="5" t="n"/>
      <c r="AD19" s="6" t="n"/>
      <c r="AE19" s="63" t="inlineStr">
        <is>
          <t>M</t>
        </is>
      </c>
      <c r="AF19" s="6" t="n"/>
      <c r="AG19" s="63" t="n"/>
      <c r="AH19" s="6" t="n"/>
      <c r="AI19" s="63" t="n"/>
      <c r="AJ19" s="6" t="n"/>
      <c r="AK19" s="63" t="n"/>
      <c r="AL19" s="6" t="n"/>
      <c r="AM19" s="63" t="n"/>
      <c r="AN19" s="5" t="n"/>
      <c r="AO19" s="6" t="n"/>
      <c r="AP19" s="63" t="n"/>
      <c r="AQ19" s="6" t="n"/>
      <c r="AR19" s="62" t="n"/>
      <c r="AS19" s="5" t="n"/>
      <c r="AT19" s="6" t="n"/>
      <c r="AU19" s="63" t="n"/>
      <c r="AV19" s="6" t="n"/>
      <c r="AW19" s="63" t="n"/>
      <c r="AX19" s="6" t="n"/>
      <c r="AY19" s="63" t="n"/>
      <c r="AZ19" s="6" t="n"/>
      <c r="BA19" s="63" t="n"/>
      <c r="BB19" s="5" t="n"/>
      <c r="BC19" s="6" t="n"/>
      <c r="BD19" s="63" t="n"/>
      <c r="BE19" s="6" t="n"/>
      <c r="BF19" s="62" t="n"/>
      <c r="BG19" s="5" t="n"/>
      <c r="BH19" s="6" t="n"/>
      <c r="BI19" s="64" t="n"/>
      <c r="BJ19" s="5" t="n"/>
      <c r="BK19" s="42" t="n"/>
    </row>
    <row r="20" ht="45" customHeight="1">
      <c r="A20" s="65" t="inlineStr">
        <is>
          <t>UAT-WEB-014</t>
        </is>
      </c>
      <c r="B20" s="6" t="n"/>
      <c r="C20" s="66" t="inlineStr">
        <is>
          <t>Quản trị viên hệ thống</t>
        </is>
      </c>
      <c r="D20" s="5" t="n"/>
      <c r="E20" s="5" t="n"/>
      <c r="F20" s="6" t="n"/>
      <c r="G20" s="66" t="inlineStr">
        <is>
          <t>Quản lý tenant</t>
        </is>
      </c>
      <c r="H20" s="5" t="n"/>
      <c r="I20" s="6" t="n"/>
      <c r="J20" s="66" t="inlineStr">
        <is>
          <t>Tìm kiếm tenant theo tên tenant</t>
        </is>
      </c>
      <c r="K20" s="5" t="n"/>
      <c r="L20" s="6" t="n"/>
      <c r="M20" s="66" t="inlineStr">
        <is>
          <t>Trong hệ thống có ít nhất 2 tenant.</t>
        </is>
      </c>
      <c r="N20" s="5" t="n"/>
      <c r="O20" s="5" t="n"/>
      <c r="P20" s="5" t="n"/>
      <c r="Q20" s="6" t="n"/>
      <c r="R20" s="66" t="inlineStr">
        <is>
          <t>① Trên màn hình danh sách tenant, nhập tên tenant vào ô tên tenant
② Nhấn "検索"</t>
        </is>
      </c>
      <c r="S20" s="5" t="n"/>
      <c r="T20" s="5" t="n"/>
      <c r="U20" s="5" t="n"/>
      <c r="V20" s="5" t="n"/>
      <c r="W20" s="5" t="n"/>
      <c r="X20" s="6" t="n"/>
      <c r="Y20" s="66" t="inlineStr">
        <is>
          <t>Chỉ tenant khớp với tên được hiển thị trong danh sách, các tenant khác bị ẩn.</t>
        </is>
      </c>
      <c r="Z20" s="5" t="n"/>
      <c r="AA20" s="5" t="n"/>
      <c r="AB20" s="5" t="n"/>
      <c r="AC20" s="5" t="n"/>
      <c r="AD20" s="6" t="n"/>
      <c r="AE20" s="67" t="inlineStr">
        <is>
          <t>M</t>
        </is>
      </c>
      <c r="AF20" s="6" t="n"/>
      <c r="AG20" s="67" t="n"/>
      <c r="AH20" s="6" t="n"/>
      <c r="AI20" s="67" t="n"/>
      <c r="AJ20" s="6" t="n"/>
      <c r="AK20" s="67" t="n"/>
      <c r="AL20" s="6" t="n"/>
      <c r="AM20" s="67" t="n"/>
      <c r="AN20" s="5" t="n"/>
      <c r="AO20" s="6" t="n"/>
      <c r="AP20" s="67" t="n"/>
      <c r="AQ20" s="6" t="n"/>
      <c r="AR20" s="66" t="n"/>
      <c r="AS20" s="5" t="n"/>
      <c r="AT20" s="6" t="n"/>
      <c r="AU20" s="67" t="n"/>
      <c r="AV20" s="6" t="n"/>
      <c r="AW20" s="67" t="n"/>
      <c r="AX20" s="6" t="n"/>
      <c r="AY20" s="67" t="n"/>
      <c r="AZ20" s="6" t="n"/>
      <c r="BA20" s="67" t="n"/>
      <c r="BB20" s="5" t="n"/>
      <c r="BC20" s="6" t="n"/>
      <c r="BD20" s="67" t="n"/>
      <c r="BE20" s="6" t="n"/>
      <c r="BF20" s="66" t="n"/>
      <c r="BG20" s="5" t="n"/>
      <c r="BH20" s="6" t="n"/>
      <c r="BI20" s="68" t="n"/>
      <c r="BJ20" s="5" t="n"/>
      <c r="BK20" s="42" t="n"/>
    </row>
    <row r="21" ht="60" customHeight="1">
      <c r="A21" s="61" t="inlineStr">
        <is>
          <t>UAT-WEB-015</t>
        </is>
      </c>
      <c r="B21" s="6" t="n"/>
      <c r="C21" s="62" t="inlineStr">
        <is>
          <t>Quản trị viên hệ thống</t>
        </is>
      </c>
      <c r="D21" s="5" t="n"/>
      <c r="E21" s="5" t="n"/>
      <c r="F21" s="6" t="n"/>
      <c r="G21" s="62" t="inlineStr">
        <is>
          <t>Quản lý tenant</t>
        </is>
      </c>
      <c r="H21" s="5" t="n"/>
      <c r="I21" s="6" t="n"/>
      <c r="J21" s="62" t="inlineStr">
        <is>
          <t>Lọc tenant theo trạng thái "登録待ち"</t>
        </is>
      </c>
      <c r="K21" s="5" t="n"/>
      <c r="L21" s="6" t="n"/>
      <c r="M21" s="62" t="inlineStr">
        <is>
          <t>Tồn tại tenant ở trạng thái "登録待ち".</t>
        </is>
      </c>
      <c r="N21" s="5" t="n"/>
      <c r="O21" s="5" t="n"/>
      <c r="P21" s="5" t="n"/>
      <c r="Q21" s="6" t="n"/>
      <c r="R21" s="62" t="inlineStr">
        <is>
          <t>① Trên màn hình danh sách tenant, chọn "登録待ち" trong dropdown trạng thái
② Nhấn "検索"</t>
        </is>
      </c>
      <c r="S21" s="5" t="n"/>
      <c r="T21" s="5" t="n"/>
      <c r="U21" s="5" t="n"/>
      <c r="V21" s="5" t="n"/>
      <c r="W21" s="5" t="n"/>
      <c r="X21" s="6" t="n"/>
      <c r="Y21" s="62" t="inlineStr">
        <is>
          <t>Chỉ tenant ở trạng thái "登録待ち" được hiển thị.</t>
        </is>
      </c>
      <c r="Z21" s="5" t="n"/>
      <c r="AA21" s="5" t="n"/>
      <c r="AB21" s="5" t="n"/>
      <c r="AC21" s="5" t="n"/>
      <c r="AD21" s="6" t="n"/>
      <c r="AE21" s="63" t="inlineStr">
        <is>
          <t>M</t>
        </is>
      </c>
      <c r="AF21" s="6" t="n"/>
      <c r="AG21" s="63" t="n"/>
      <c r="AH21" s="6" t="n"/>
      <c r="AI21" s="63" t="n"/>
      <c r="AJ21" s="6" t="n"/>
      <c r="AK21" s="63" t="n"/>
      <c r="AL21" s="6" t="n"/>
      <c r="AM21" s="63" t="n"/>
      <c r="AN21" s="5" t="n"/>
      <c r="AO21" s="6" t="n"/>
      <c r="AP21" s="63" t="n"/>
      <c r="AQ21" s="6" t="n"/>
      <c r="AR21" s="62" t="n"/>
      <c r="AS21" s="5" t="n"/>
      <c r="AT21" s="6" t="n"/>
      <c r="AU21" s="63" t="n"/>
      <c r="AV21" s="6" t="n"/>
      <c r="AW21" s="63" t="n"/>
      <c r="AX21" s="6" t="n"/>
      <c r="AY21" s="63" t="n"/>
      <c r="AZ21" s="6" t="n"/>
      <c r="BA21" s="63" t="n"/>
      <c r="BB21" s="5" t="n"/>
      <c r="BC21" s="6" t="n"/>
      <c r="BD21" s="63" t="n"/>
      <c r="BE21" s="6" t="n"/>
      <c r="BF21" s="62" t="n"/>
      <c r="BG21" s="5" t="n"/>
      <c r="BH21" s="6" t="n"/>
      <c r="BI21" s="64" t="n"/>
      <c r="BJ21" s="5" t="n"/>
      <c r="BK21" s="42" t="n"/>
    </row>
    <row r="22" ht="90" customHeight="1">
      <c r="A22" s="65" t="inlineStr">
        <is>
          <t>UAT-WEB-016</t>
        </is>
      </c>
      <c r="B22" s="6" t="n"/>
      <c r="C22" s="66" t="inlineStr">
        <is>
          <t>Quản trị viên hệ thống</t>
        </is>
      </c>
      <c r="D22" s="5" t="n"/>
      <c r="E22" s="5" t="n"/>
      <c r="F22" s="6" t="n"/>
      <c r="G22" s="66" t="inlineStr">
        <is>
          <t>Quản lý tenant</t>
        </is>
      </c>
      <c r="H22" s="5" t="n"/>
      <c r="I22" s="6" t="n"/>
      <c r="J22" s="66" t="inlineStr">
        <is>
          <t>Kiểm tra chi tiết thông tin tenant</t>
        </is>
      </c>
      <c r="K22" s="5" t="n"/>
      <c r="L22" s="6" t="n"/>
      <c r="M22" s="66" t="inlineStr">
        <is>
          <t>Trong hệ thống có ít nhất 1 tenant.</t>
        </is>
      </c>
      <c r="N22" s="5" t="n"/>
      <c r="O22" s="5" t="n"/>
      <c r="P22" s="5" t="n"/>
      <c r="Q22" s="6" t="n"/>
      <c r="R22" s="66" t="inlineStr">
        <is>
          <t>① Trên màn hình danh sách tenant, nhấn vào dòng tenant trong danh sách</t>
        </is>
      </c>
      <c r="S22" s="5" t="n"/>
      <c r="T22" s="5" t="n"/>
      <c r="U22" s="5" t="n"/>
      <c r="V22" s="5" t="n"/>
      <c r="W22" s="5" t="n"/>
      <c r="X22" s="6" t="n"/>
      <c r="Y22" s="66" t="inlineStr">
        <is>
          <t>Màn hình chi tiết tenant hiển thị thông tin tenant, thông tin hợp đồng, thông tin thanh toán và thông tin quản trị viên tenant; có nút "編集" và "削除".</t>
        </is>
      </c>
      <c r="Z22" s="5" t="n"/>
      <c r="AA22" s="5" t="n"/>
      <c r="AB22" s="5" t="n"/>
      <c r="AC22" s="5" t="n"/>
      <c r="AD22" s="6" t="n"/>
      <c r="AE22" s="67" t="inlineStr">
        <is>
          <t>M</t>
        </is>
      </c>
      <c r="AF22" s="6" t="n"/>
      <c r="AG22" s="67" t="n"/>
      <c r="AH22" s="6" t="n"/>
      <c r="AI22" s="67" t="n"/>
      <c r="AJ22" s="6" t="n"/>
      <c r="AK22" s="67" t="n"/>
      <c r="AL22" s="6" t="n"/>
      <c r="AM22" s="67" t="n"/>
      <c r="AN22" s="5" t="n"/>
      <c r="AO22" s="6" t="n"/>
      <c r="AP22" s="67" t="n"/>
      <c r="AQ22" s="6" t="n"/>
      <c r="AR22" s="66" t="n"/>
      <c r="AS22" s="5" t="n"/>
      <c r="AT22" s="6" t="n"/>
      <c r="AU22" s="67" t="n"/>
      <c r="AV22" s="6" t="n"/>
      <c r="AW22" s="67" t="n"/>
      <c r="AX22" s="6" t="n"/>
      <c r="AY22" s="67" t="n"/>
      <c r="AZ22" s="6" t="n"/>
      <c r="BA22" s="67" t="n"/>
      <c r="BB22" s="5" t="n"/>
      <c r="BC22" s="6" t="n"/>
      <c r="BD22" s="67" t="n"/>
      <c r="BE22" s="6" t="n"/>
      <c r="BF22" s="66" t="n"/>
      <c r="BG22" s="5" t="n"/>
      <c r="BH22" s="6" t="n"/>
      <c r="BI22" s="68" t="n"/>
      <c r="BJ22" s="5" t="n"/>
      <c r="BK22" s="42" t="n"/>
    </row>
    <row r="23" ht="45" customHeight="1">
      <c r="A23" s="61" t="inlineStr">
        <is>
          <t>UAT-WEB-017</t>
        </is>
      </c>
      <c r="B23" s="6" t="n"/>
      <c r="C23" s="62" t="inlineStr">
        <is>
          <t>Quản trị viên hệ thống</t>
        </is>
      </c>
      <c r="D23" s="5" t="n"/>
      <c r="E23" s="5" t="n"/>
      <c r="F23" s="6" t="n"/>
      <c r="G23" s="62" t="inlineStr">
        <is>
          <t>Quản lý tenant</t>
        </is>
      </c>
      <c r="H23" s="5" t="n"/>
      <c r="I23" s="6" t="n"/>
      <c r="J23" s="62" t="inlineStr">
        <is>
          <t>Hiển thị danh sách người dùng trong tenant (popup xem)</t>
        </is>
      </c>
      <c r="K23" s="5" t="n"/>
      <c r="L23" s="6" t="n"/>
      <c r="M23" s="62" t="inlineStr">
        <is>
          <t>Tenant có ít nhất 1 người dùng.</t>
        </is>
      </c>
      <c r="N23" s="5" t="n"/>
      <c r="O23" s="5" t="n"/>
      <c r="P23" s="5" t="n"/>
      <c r="Q23" s="6" t="n"/>
      <c r="R23" s="62" t="inlineStr">
        <is>
          <t>① Mở màn hình chi tiết tenant
② Nhấn nút "ビュー" trong phần danh sách người dùng</t>
        </is>
      </c>
      <c r="S23" s="5" t="n"/>
      <c r="T23" s="5" t="n"/>
      <c r="U23" s="5" t="n"/>
      <c r="V23" s="5" t="n"/>
      <c r="W23" s="5" t="n"/>
      <c r="X23" s="6" t="n"/>
      <c r="Y23" s="62" t="inlineStr">
        <is>
          <t>Popup hiển thị danh sách người dùng gồm email, họ tên, trạng thái và số SIP.</t>
        </is>
      </c>
      <c r="Z23" s="5" t="n"/>
      <c r="AA23" s="5" t="n"/>
      <c r="AB23" s="5" t="n"/>
      <c r="AC23" s="5" t="n"/>
      <c r="AD23" s="6" t="n"/>
      <c r="AE23" s="63" t="inlineStr">
        <is>
          <t>M</t>
        </is>
      </c>
      <c r="AF23" s="6" t="n"/>
      <c r="AG23" s="63" t="n"/>
      <c r="AH23" s="6" t="n"/>
      <c r="AI23" s="63" t="n"/>
      <c r="AJ23" s="6" t="n"/>
      <c r="AK23" s="63" t="n"/>
      <c r="AL23" s="6" t="n"/>
      <c r="AM23" s="63" t="n"/>
      <c r="AN23" s="5" t="n"/>
      <c r="AO23" s="6" t="n"/>
      <c r="AP23" s="63" t="n"/>
      <c r="AQ23" s="6" t="n"/>
      <c r="AR23" s="62" t="n"/>
      <c r="AS23" s="5" t="n"/>
      <c r="AT23" s="6" t="n"/>
      <c r="AU23" s="63" t="n"/>
      <c r="AV23" s="6" t="n"/>
      <c r="AW23" s="63" t="n"/>
      <c r="AX23" s="6" t="n"/>
      <c r="AY23" s="63" t="n"/>
      <c r="AZ23" s="6" t="n"/>
      <c r="BA23" s="63" t="n"/>
      <c r="BB23" s="5" t="n"/>
      <c r="BC23" s="6" t="n"/>
      <c r="BD23" s="63" t="n"/>
      <c r="BE23" s="6" t="n"/>
      <c r="BF23" s="62" t="n"/>
      <c r="BG23" s="5" t="n"/>
      <c r="BH23" s="6" t="n"/>
      <c r="BI23" s="64" t="n"/>
      <c r="BJ23" s="5" t="n"/>
      <c r="BK23" s="42" t="n"/>
    </row>
    <row r="24" ht="150" customHeight="1">
      <c r="A24" s="65" t="inlineStr">
        <is>
          <t>UAT-WEB-018</t>
        </is>
      </c>
      <c r="B24" s="6" t="n"/>
      <c r="C24" s="66" t="inlineStr">
        <is>
          <t>Quản trị viên hệ thống</t>
        </is>
      </c>
      <c r="D24" s="5" t="n"/>
      <c r="E24" s="5" t="n"/>
      <c r="F24" s="6" t="n"/>
      <c r="G24" s="66" t="inlineStr">
        <is>
          <t>Quản lý tenant</t>
        </is>
      </c>
      <c r="H24" s="5" t="n"/>
      <c r="I24" s="6" t="n"/>
      <c r="J24" s="66" t="inlineStr">
        <is>
          <t>Kiểm tra lịch sử số lượng người dùng trong tháng hiện tại</t>
        </is>
      </c>
      <c r="K24" s="5" t="n"/>
      <c r="L24" s="6" t="n"/>
      <c r="M24" s="66" t="inlineStr">
        <is>
          <t>Tenant có lịch sử người dùng (số người dùng sử dụng trong tháng hiện tại).</t>
        </is>
      </c>
      <c r="N24" s="5" t="n"/>
      <c r="O24" s="5" t="n"/>
      <c r="P24" s="5" t="n"/>
      <c r="Q24" s="6" t="n"/>
      <c r="R24" s="66" t="inlineStr">
        <is>
          <t>① Mở màn hình chi tiết tenant
② Nhấn icon lịch sử cạnh mục "当月利用ユーザー数"</t>
        </is>
      </c>
      <c r="S24" s="5" t="n"/>
      <c r="T24" s="5" t="n"/>
      <c r="U24" s="5" t="n"/>
      <c r="V24" s="5" t="n"/>
      <c r="W24" s="5" t="n"/>
      <c r="X24" s="6" t="n"/>
      <c r="Y24" s="66" t="inlineStr">
        <is>
          <t>Popup hiển thị lịch sử thay đổi người dùng theo ngày trong tháng hiện tại.
Chỉ người dùng ở các trạng thái sau được tính vào "当月利用ユーザー数".
+ アクティブ待ち
+ 利用中
* Người dùng ở trạng thái "削除済み" không được tính.</t>
        </is>
      </c>
      <c r="Z24" s="5" t="n"/>
      <c r="AA24" s="5" t="n"/>
      <c r="AB24" s="5" t="n"/>
      <c r="AC24" s="5" t="n"/>
      <c r="AD24" s="6" t="n"/>
      <c r="AE24" s="67" t="inlineStr">
        <is>
          <t>M</t>
        </is>
      </c>
      <c r="AF24" s="6" t="n"/>
      <c r="AG24" s="67" t="n"/>
      <c r="AH24" s="6" t="n"/>
      <c r="AI24" s="67" t="n"/>
      <c r="AJ24" s="6" t="n"/>
      <c r="AK24" s="67" t="n"/>
      <c r="AL24" s="6" t="n"/>
      <c r="AM24" s="67" t="n"/>
      <c r="AN24" s="5" t="n"/>
      <c r="AO24" s="6" t="n"/>
      <c r="AP24" s="67" t="n"/>
      <c r="AQ24" s="6" t="n"/>
      <c r="AR24" s="66" t="n"/>
      <c r="AS24" s="5" t="n"/>
      <c r="AT24" s="6" t="n"/>
      <c r="AU24" s="67" t="n"/>
      <c r="AV24" s="6" t="n"/>
      <c r="AW24" s="67" t="n"/>
      <c r="AX24" s="6" t="n"/>
      <c r="AY24" s="67" t="n"/>
      <c r="AZ24" s="6" t="n"/>
      <c r="BA24" s="67" t="n"/>
      <c r="BB24" s="5" t="n"/>
      <c r="BC24" s="6" t="n"/>
      <c r="BD24" s="67" t="n"/>
      <c r="BE24" s="6" t="n"/>
      <c r="BF24" s="66" t="n"/>
      <c r="BG24" s="5" t="n"/>
      <c r="BH24" s="6" t="n"/>
      <c r="BI24" s="68" t="n"/>
      <c r="BJ24" s="5" t="n"/>
      <c r="BK24" s="42" t="n"/>
    </row>
    <row r="25" ht="75" customHeight="1">
      <c r="A25" s="61" t="inlineStr">
        <is>
          <t>UAT-WEB-019</t>
        </is>
      </c>
      <c r="B25" s="6" t="n"/>
      <c r="C25" s="62" t="inlineStr">
        <is>
          <t>Quản trị viên hệ thống</t>
        </is>
      </c>
      <c r="D25" s="5" t="n"/>
      <c r="E25" s="5" t="n"/>
      <c r="F25" s="6" t="n"/>
      <c r="G25" s="62" t="inlineStr">
        <is>
          <t>Quản lý tenant</t>
        </is>
      </c>
      <c r="H25" s="5" t="n"/>
      <c r="I25" s="6" t="n"/>
      <c r="J25" s="62" t="inlineStr">
        <is>
          <t>Chỉnh sửa thông tin hợp đồng tenant</t>
        </is>
      </c>
      <c r="K25" s="5" t="n"/>
      <c r="L25" s="6" t="n"/>
      <c r="M25" s="62" t="inlineStr">
        <is>
          <t>Tenant ở trạng thái "利用中".</t>
        </is>
      </c>
      <c r="N25" s="5" t="n"/>
      <c r="O25" s="5" t="n"/>
      <c r="P25" s="5" t="n"/>
      <c r="Q25" s="6" t="n"/>
      <c r="R25" s="62" t="inlineStr">
        <is>
          <t>① Mở màn hình chi tiết tenant và nhấn "編集"
② Sửa tên công ty trong thông tin hợp đồng
③ Nhấn "保存"</t>
        </is>
      </c>
      <c r="S25" s="5" t="n"/>
      <c r="T25" s="5" t="n"/>
      <c r="U25" s="5" t="n"/>
      <c r="V25" s="5" t="n"/>
      <c r="W25" s="5" t="n"/>
      <c r="X25" s="6" t="n"/>
      <c r="Y25" s="62" t="inlineStr">
        <is>
          <t>Thông tin được cập nhật. Không thể thay đổi mã tenant và trạng thái tenant.</t>
        </is>
      </c>
      <c r="Z25" s="5" t="n"/>
      <c r="AA25" s="5" t="n"/>
      <c r="AB25" s="5" t="n"/>
      <c r="AC25" s="5" t="n"/>
      <c r="AD25" s="6" t="n"/>
      <c r="AE25" s="63" t="inlineStr">
        <is>
          <t>M</t>
        </is>
      </c>
      <c r="AF25" s="6" t="n"/>
      <c r="AG25" s="63" t="n"/>
      <c r="AH25" s="6" t="n"/>
      <c r="AI25" s="63" t="n"/>
      <c r="AJ25" s="6" t="n"/>
      <c r="AK25" s="63" t="n"/>
      <c r="AL25" s="6" t="n"/>
      <c r="AM25" s="63" t="n"/>
      <c r="AN25" s="5" t="n"/>
      <c r="AO25" s="6" t="n"/>
      <c r="AP25" s="63" t="n"/>
      <c r="AQ25" s="6" t="n"/>
      <c r="AR25" s="62" t="n"/>
      <c r="AS25" s="5" t="n"/>
      <c r="AT25" s="6" t="n"/>
      <c r="AU25" s="63" t="n"/>
      <c r="AV25" s="6" t="n"/>
      <c r="AW25" s="63" t="n"/>
      <c r="AX25" s="6" t="n"/>
      <c r="AY25" s="63" t="n"/>
      <c r="AZ25" s="6" t="n"/>
      <c r="BA25" s="63" t="n"/>
      <c r="BB25" s="5" t="n"/>
      <c r="BC25" s="6" t="n"/>
      <c r="BD25" s="63" t="n"/>
      <c r="BE25" s="6" t="n"/>
      <c r="BF25" s="62" t="n"/>
      <c r="BG25" s="5" t="n"/>
      <c r="BH25" s="6" t="n"/>
      <c r="BI25" s="64" t="n"/>
      <c r="BJ25" s="5" t="n"/>
      <c r="BK25" s="42" t="n"/>
    </row>
    <row r="26" ht="75" customHeight="1">
      <c r="A26" s="65" t="inlineStr">
        <is>
          <t>UAT-WEB-020</t>
        </is>
      </c>
      <c r="B26" s="6" t="n"/>
      <c r="C26" s="66" t="inlineStr">
        <is>
          <t>Quản trị viên hệ thống</t>
        </is>
      </c>
      <c r="D26" s="5" t="n"/>
      <c r="E26" s="5" t="n"/>
      <c r="F26" s="6" t="n"/>
      <c r="G26" s="66" t="inlineStr">
        <is>
          <t>Quản lý tenant</t>
        </is>
      </c>
      <c r="H26" s="5" t="n"/>
      <c r="I26" s="6" t="n"/>
      <c r="J26" s="66" t="inlineStr">
        <is>
          <t>Kiểm tra lịch sử chỉnh sửa tenant</t>
        </is>
      </c>
      <c r="K26" s="5" t="n"/>
      <c r="L26" s="6" t="n"/>
      <c r="M26" s="66" t="inlineStr">
        <is>
          <t>Tenant đã được chỉnh sửa ít nhất 1 lần.</t>
        </is>
      </c>
      <c r="N26" s="5" t="n"/>
      <c r="O26" s="5" t="n"/>
      <c r="P26" s="5" t="n"/>
      <c r="Q26" s="6" t="n"/>
      <c r="R26" s="66" t="inlineStr">
        <is>
          <t>① Mở màn hình chi tiết tenant
② Nhấn nút "編集履歴"</t>
        </is>
      </c>
      <c r="S26" s="5" t="n"/>
      <c r="T26" s="5" t="n"/>
      <c r="U26" s="5" t="n"/>
      <c r="V26" s="5" t="n"/>
      <c r="W26" s="5" t="n"/>
      <c r="X26" s="6" t="n"/>
      <c r="Y26" s="66" t="inlineStr">
        <is>
          <t>Popup hiển thị bảng lịch sử gồm khu vực, mục, nội dung trước chỉnh sửa, nội dung sau chỉnh sửa, ngày chỉnh sửa và người chỉnh sửa.</t>
        </is>
      </c>
      <c r="Z26" s="5" t="n"/>
      <c r="AA26" s="5" t="n"/>
      <c r="AB26" s="5" t="n"/>
      <c r="AC26" s="5" t="n"/>
      <c r="AD26" s="6" t="n"/>
      <c r="AE26" s="67" t="inlineStr">
        <is>
          <t>M</t>
        </is>
      </c>
      <c r="AF26" s="6" t="n"/>
      <c r="AG26" s="67" t="n"/>
      <c r="AH26" s="6" t="n"/>
      <c r="AI26" s="67" t="n"/>
      <c r="AJ26" s="6" t="n"/>
      <c r="AK26" s="67" t="n"/>
      <c r="AL26" s="6" t="n"/>
      <c r="AM26" s="67" t="n"/>
      <c r="AN26" s="5" t="n"/>
      <c r="AO26" s="6" t="n"/>
      <c r="AP26" s="67" t="n"/>
      <c r="AQ26" s="6" t="n"/>
      <c r="AR26" s="66" t="n"/>
      <c r="AS26" s="5" t="n"/>
      <c r="AT26" s="6" t="n"/>
      <c r="AU26" s="67" t="n"/>
      <c r="AV26" s="6" t="n"/>
      <c r="AW26" s="67" t="n"/>
      <c r="AX26" s="6" t="n"/>
      <c r="AY26" s="67" t="n"/>
      <c r="AZ26" s="6" t="n"/>
      <c r="BA26" s="67" t="n"/>
      <c r="BB26" s="5" t="n"/>
      <c r="BC26" s="6" t="n"/>
      <c r="BD26" s="67" t="n"/>
      <c r="BE26" s="6" t="n"/>
      <c r="BF26" s="66" t="n"/>
      <c r="BG26" s="5" t="n"/>
      <c r="BH26" s="6" t="n"/>
      <c r="BI26" s="68" t="n"/>
      <c r="BJ26" s="5" t="n"/>
      <c r="BK26" s="42" t="n"/>
    </row>
    <row r="27" ht="60" customHeight="1">
      <c r="A27" s="61" t="inlineStr">
        <is>
          <t>UAT-WEB-021</t>
        </is>
      </c>
      <c r="B27" s="6" t="n"/>
      <c r="C27" s="62" t="inlineStr">
        <is>
          <t>Quản trị viên hệ thống</t>
        </is>
      </c>
      <c r="D27" s="5" t="n"/>
      <c r="E27" s="5" t="n"/>
      <c r="F27" s="6" t="n"/>
      <c r="G27" s="62" t="inlineStr">
        <is>
          <t>Quản lý tenant</t>
        </is>
      </c>
      <c r="H27" s="5" t="n"/>
      <c r="I27" s="6" t="n"/>
      <c r="J27" s="62" t="inlineStr">
        <is>
          <t>Dừng tenant đang ở trạng thái "利用中"</t>
        </is>
      </c>
      <c r="K27" s="5" t="n"/>
      <c r="L27" s="6" t="n"/>
      <c r="M27" s="62" t="inlineStr">
        <is>
          <t>Tenant ở trạng thái "利用中".</t>
        </is>
      </c>
      <c r="N27" s="5" t="n"/>
      <c r="O27" s="5" t="n"/>
      <c r="P27" s="5" t="n"/>
      <c r="Q27" s="6" t="n"/>
      <c r="R27" s="62" t="inlineStr">
        <is>
          <t>① Mở màn hình chi tiết tenant
② Nhấn "停止する" và xác nhận</t>
        </is>
      </c>
      <c r="S27" s="5" t="n"/>
      <c r="T27" s="5" t="n"/>
      <c r="U27" s="5" t="n"/>
      <c r="V27" s="5" t="n"/>
      <c r="W27" s="5" t="n"/>
      <c r="X27" s="6" t="n"/>
      <c r="Y27" s="62" t="inlineStr">
        <is>
          <t>Trạng thái chuyển từ "利用中" sang "停止" và toàn bộ người dùng trong tenant không thể đăng nhập app.</t>
        </is>
      </c>
      <c r="Z27" s="5" t="n"/>
      <c r="AA27" s="5" t="n"/>
      <c r="AB27" s="5" t="n"/>
      <c r="AC27" s="5" t="n"/>
      <c r="AD27" s="6" t="n"/>
      <c r="AE27" s="63" t="inlineStr">
        <is>
          <t>H</t>
        </is>
      </c>
      <c r="AF27" s="6" t="n"/>
      <c r="AG27" s="63" t="n"/>
      <c r="AH27" s="6" t="n"/>
      <c r="AI27" s="63" t="n"/>
      <c r="AJ27" s="6" t="n"/>
      <c r="AK27" s="63" t="n"/>
      <c r="AL27" s="6" t="n"/>
      <c r="AM27" s="63" t="n"/>
      <c r="AN27" s="5" t="n"/>
      <c r="AO27" s="6" t="n"/>
      <c r="AP27" s="63" t="n"/>
      <c r="AQ27" s="6" t="n"/>
      <c r="AR27" s="62" t="n"/>
      <c r="AS27" s="5" t="n"/>
      <c r="AT27" s="6" t="n"/>
      <c r="AU27" s="63" t="n"/>
      <c r="AV27" s="6" t="n"/>
      <c r="AW27" s="63" t="n"/>
      <c r="AX27" s="6" t="n"/>
      <c r="AY27" s="63" t="n"/>
      <c r="AZ27" s="6" t="n"/>
      <c r="BA27" s="63" t="n"/>
      <c r="BB27" s="5" t="n"/>
      <c r="BC27" s="6" t="n"/>
      <c r="BD27" s="63" t="n"/>
      <c r="BE27" s="6" t="n"/>
      <c r="BF27" s="62" t="n"/>
      <c r="BG27" s="5" t="n"/>
      <c r="BH27" s="6" t="n"/>
      <c r="BI27" s="64" t="n"/>
      <c r="BJ27" s="5" t="n"/>
      <c r="BK27" s="42" t="n"/>
    </row>
    <row r="28" ht="30" customHeight="1">
      <c r="A28" s="65" t="inlineStr">
        <is>
          <t>UAT-WEB-022</t>
        </is>
      </c>
      <c r="B28" s="6" t="n"/>
      <c r="C28" s="66" t="inlineStr">
        <is>
          <t>Quản trị viên hệ thống</t>
        </is>
      </c>
      <c r="D28" s="5" t="n"/>
      <c r="E28" s="5" t="n"/>
      <c r="F28" s="6" t="n"/>
      <c r="G28" s="66" t="inlineStr">
        <is>
          <t>Quản lý tenant</t>
        </is>
      </c>
      <c r="H28" s="5" t="n"/>
      <c r="I28" s="6" t="n"/>
      <c r="J28" s="66" t="inlineStr">
        <is>
          <t>Kiểm tra nút "停止する" không hiển thị khi tenant ở trạng thái "停止"</t>
        </is>
      </c>
      <c r="K28" s="5" t="n"/>
      <c r="L28" s="6" t="n"/>
      <c r="M28" s="66" t="inlineStr">
        <is>
          <t>Tenant ở trạng thái "停止".</t>
        </is>
      </c>
      <c r="N28" s="5" t="n"/>
      <c r="O28" s="5" t="n"/>
      <c r="P28" s="5" t="n"/>
      <c r="Q28" s="6" t="n"/>
      <c r="R28" s="66" t="inlineStr">
        <is>
          <t>① Mở màn hình chi tiết tenant có trạng thái "停止"</t>
        </is>
      </c>
      <c r="S28" s="5" t="n"/>
      <c r="T28" s="5" t="n"/>
      <c r="U28" s="5" t="n"/>
      <c r="V28" s="5" t="n"/>
      <c r="W28" s="5" t="n"/>
      <c r="X28" s="6" t="n"/>
      <c r="Y28" s="66" t="inlineStr">
        <is>
          <t>Nút "停止する" không hiển thị, chỉ hiển thị "有効化する".</t>
        </is>
      </c>
      <c r="Z28" s="5" t="n"/>
      <c r="AA28" s="5" t="n"/>
      <c r="AB28" s="5" t="n"/>
      <c r="AC28" s="5" t="n"/>
      <c r="AD28" s="6" t="n"/>
      <c r="AE28" s="67" t="inlineStr">
        <is>
          <t>H</t>
        </is>
      </c>
      <c r="AF28" s="6" t="n"/>
      <c r="AG28" s="67" t="n"/>
      <c r="AH28" s="6" t="n"/>
      <c r="AI28" s="67" t="n"/>
      <c r="AJ28" s="6" t="n"/>
      <c r="AK28" s="67" t="n"/>
      <c r="AL28" s="6" t="n"/>
      <c r="AM28" s="67" t="n"/>
      <c r="AN28" s="5" t="n"/>
      <c r="AO28" s="6" t="n"/>
      <c r="AP28" s="67" t="n"/>
      <c r="AQ28" s="6" t="n"/>
      <c r="AR28" s="66" t="n"/>
      <c r="AS28" s="5" t="n"/>
      <c r="AT28" s="6" t="n"/>
      <c r="AU28" s="67" t="n"/>
      <c r="AV28" s="6" t="n"/>
      <c r="AW28" s="67" t="n"/>
      <c r="AX28" s="6" t="n"/>
      <c r="AY28" s="67" t="n"/>
      <c r="AZ28" s="6" t="n"/>
      <c r="BA28" s="67" t="n"/>
      <c r="BB28" s="5" t="n"/>
      <c r="BC28" s="6" t="n"/>
      <c r="BD28" s="67" t="n"/>
      <c r="BE28" s="6" t="n"/>
      <c r="BF28" s="66" t="n"/>
      <c r="BG28" s="5" t="n"/>
      <c r="BH28" s="6" t="n"/>
      <c r="BI28" s="68" t="n"/>
      <c r="BJ28" s="5" t="n"/>
      <c r="BK28" s="42" t="n"/>
    </row>
    <row r="29" ht="45" customHeight="1">
      <c r="A29" s="61" t="inlineStr">
        <is>
          <t>UAT-WEB-023</t>
        </is>
      </c>
      <c r="B29" s="6" t="n"/>
      <c r="C29" s="62" t="inlineStr">
        <is>
          <t>Quản trị viên hệ thống</t>
        </is>
      </c>
      <c r="D29" s="5" t="n"/>
      <c r="E29" s="5" t="n"/>
      <c r="F29" s="6" t="n"/>
      <c r="G29" s="62" t="inlineStr">
        <is>
          <t>Quản lý tenant</t>
        </is>
      </c>
      <c r="H29" s="5" t="n"/>
      <c r="I29" s="6" t="n"/>
      <c r="J29" s="62" t="inlineStr">
        <is>
          <t>Kích hoạt lại tenant ở trạng thái "停止"</t>
        </is>
      </c>
      <c r="K29" s="5" t="n"/>
      <c r="L29" s="6" t="n"/>
      <c r="M29" s="62" t="inlineStr">
        <is>
          <t>Tenant ở trạng thái "停止".</t>
        </is>
      </c>
      <c r="N29" s="5" t="n"/>
      <c r="O29" s="5" t="n"/>
      <c r="P29" s="5" t="n"/>
      <c r="Q29" s="6" t="n"/>
      <c r="R29" s="62" t="inlineStr">
        <is>
          <t>① Mở màn hình chi tiết tenant
② Nhấn "有効化する" và xác nhận</t>
        </is>
      </c>
      <c r="S29" s="5" t="n"/>
      <c r="T29" s="5" t="n"/>
      <c r="U29" s="5" t="n"/>
      <c r="V29" s="5" t="n"/>
      <c r="W29" s="5" t="n"/>
      <c r="X29" s="6" t="n"/>
      <c r="Y29" s="62" t="inlineStr">
        <is>
          <t>Trạng thái chuyển từ "停止" sang "利用中" và người dùng có thể đăng nhập app trở lại.</t>
        </is>
      </c>
      <c r="Z29" s="5" t="n"/>
      <c r="AA29" s="5" t="n"/>
      <c r="AB29" s="5" t="n"/>
      <c r="AC29" s="5" t="n"/>
      <c r="AD29" s="6" t="n"/>
      <c r="AE29" s="63" t="inlineStr">
        <is>
          <t>H</t>
        </is>
      </c>
      <c r="AF29" s="6" t="n"/>
      <c r="AG29" s="63" t="n"/>
      <c r="AH29" s="6" t="n"/>
      <c r="AI29" s="63" t="n"/>
      <c r="AJ29" s="6" t="n"/>
      <c r="AK29" s="63" t="n"/>
      <c r="AL29" s="6" t="n"/>
      <c r="AM29" s="63" t="n"/>
      <c r="AN29" s="5" t="n"/>
      <c r="AO29" s="6" t="n"/>
      <c r="AP29" s="63" t="n"/>
      <c r="AQ29" s="6" t="n"/>
      <c r="AR29" s="62" t="n"/>
      <c r="AS29" s="5" t="n"/>
      <c r="AT29" s="6" t="n"/>
      <c r="AU29" s="63" t="n"/>
      <c r="AV29" s="6" t="n"/>
      <c r="AW29" s="63" t="n"/>
      <c r="AX29" s="6" t="n"/>
      <c r="AY29" s="63" t="n"/>
      <c r="AZ29" s="6" t="n"/>
      <c r="BA29" s="63" t="n"/>
      <c r="BB29" s="5" t="n"/>
      <c r="BC29" s="6" t="n"/>
      <c r="BD29" s="63" t="n"/>
      <c r="BE29" s="6" t="n"/>
      <c r="BF29" s="62" t="n"/>
      <c r="BG29" s="5" t="n"/>
      <c r="BH29" s="6" t="n"/>
      <c r="BI29" s="64" t="n"/>
      <c r="BJ29" s="5" t="n"/>
      <c r="BK29" s="42" t="n"/>
    </row>
    <row r="30" ht="75" customHeight="1">
      <c r="A30" s="65" t="inlineStr">
        <is>
          <t>UAT-WEB-024</t>
        </is>
      </c>
      <c r="B30" s="6" t="n"/>
      <c r="C30" s="66" t="inlineStr">
        <is>
          <t>Quản trị viên hệ thống</t>
        </is>
      </c>
      <c r="D30" s="5" t="n"/>
      <c r="E30" s="5" t="n"/>
      <c r="F30" s="6" t="n"/>
      <c r="G30" s="66" t="inlineStr">
        <is>
          <t>Quản lý tenant</t>
        </is>
      </c>
      <c r="H30" s="5" t="n"/>
      <c r="I30" s="6" t="n"/>
      <c r="J30" s="66" t="inlineStr">
        <is>
          <t>Xóa tenant</t>
        </is>
      </c>
      <c r="K30" s="5" t="n"/>
      <c r="L30" s="6" t="n"/>
      <c r="M30" s="66" t="inlineStr">
        <is>
          <t>Tenant ở trạng thái "登録待ち", "利用中" hoặc "停止".</t>
        </is>
      </c>
      <c r="N30" s="5" t="n"/>
      <c r="O30" s="5" t="n"/>
      <c r="P30" s="5" t="n"/>
      <c r="Q30" s="6" t="n"/>
      <c r="R30" s="66" t="inlineStr">
        <is>
          <t>① Mở màn hình chi tiết tenant
② Nhấn "削除" và xác nhận</t>
        </is>
      </c>
      <c r="S30" s="5" t="n"/>
      <c r="T30" s="5" t="n"/>
      <c r="U30" s="5" t="n"/>
      <c r="V30" s="5" t="n"/>
      <c r="W30" s="5" t="n"/>
      <c r="X30" s="6" t="n"/>
      <c r="Y30" s="66" t="inlineStr">
        <is>
          <t>Trạng thái chuyển thành "契約解除"; quản trị viên tenant không thể đăng nhập màn hình quản trị web và người dùng không thể đăng nhập app.</t>
        </is>
      </c>
      <c r="Z30" s="5" t="n"/>
      <c r="AA30" s="5" t="n"/>
      <c r="AB30" s="5" t="n"/>
      <c r="AC30" s="5" t="n"/>
      <c r="AD30" s="6" t="n"/>
      <c r="AE30" s="67" t="inlineStr">
        <is>
          <t>H</t>
        </is>
      </c>
      <c r="AF30" s="6" t="n"/>
      <c r="AG30" s="67" t="n"/>
      <c r="AH30" s="6" t="n"/>
      <c r="AI30" s="67" t="n"/>
      <c r="AJ30" s="6" t="n"/>
      <c r="AK30" s="67" t="n"/>
      <c r="AL30" s="6" t="n"/>
      <c r="AM30" s="67" t="n"/>
      <c r="AN30" s="5" t="n"/>
      <c r="AO30" s="6" t="n"/>
      <c r="AP30" s="67" t="n"/>
      <c r="AQ30" s="6" t="n"/>
      <c r="AR30" s="66" t="n"/>
      <c r="AS30" s="5" t="n"/>
      <c r="AT30" s="6" t="n"/>
      <c r="AU30" s="67" t="n"/>
      <c r="AV30" s="6" t="n"/>
      <c r="AW30" s="67" t="n"/>
      <c r="AX30" s="6" t="n"/>
      <c r="AY30" s="67" t="n"/>
      <c r="AZ30" s="6" t="n"/>
      <c r="BA30" s="67" t="n"/>
      <c r="BB30" s="5" t="n"/>
      <c r="BC30" s="6" t="n"/>
      <c r="BD30" s="67" t="n"/>
      <c r="BE30" s="6" t="n"/>
      <c r="BF30" s="66" t="n"/>
      <c r="BG30" s="5" t="n"/>
      <c r="BH30" s="6" t="n"/>
      <c r="BI30" s="68" t="n"/>
      <c r="BJ30" s="5" t="n"/>
      <c r="BK30" s="42" t="n"/>
    </row>
    <row r="31" ht="75" customHeight="1">
      <c r="A31" s="61" t="inlineStr">
        <is>
          <t>UAT-WEB-025</t>
        </is>
      </c>
      <c r="B31" s="6" t="n"/>
      <c r="C31" s="62" t="inlineStr">
        <is>
          <t>Quản trị viên hệ thống</t>
        </is>
      </c>
      <c r="D31" s="5" t="n"/>
      <c r="E31" s="5" t="n"/>
      <c r="F31" s="6" t="n"/>
      <c r="G31" s="62" t="inlineStr">
        <is>
          <t>Quản lý tenant</t>
        </is>
      </c>
      <c r="H31" s="5" t="n"/>
      <c r="I31" s="6" t="n"/>
      <c r="J31" s="62" t="inlineStr">
        <is>
          <t>Gửi thông tin đăng nhập cho quản trị viên tenant</t>
        </is>
      </c>
      <c r="K31" s="5" t="n"/>
      <c r="L31" s="6" t="n"/>
      <c r="M31" s="62" t="inlineStr">
        <is>
          <t>Tenant mới được tạo và thông tin đăng nhập chưa từng được gửi cho tài khoản quản trị viên tenant.</t>
        </is>
      </c>
      <c r="N31" s="5" t="n"/>
      <c r="O31" s="5" t="n"/>
      <c r="P31" s="5" t="n"/>
      <c r="Q31" s="6" t="n"/>
      <c r="R31" s="62" t="inlineStr">
        <is>
          <t>① Chọn tenant bằng checkbox
② Nhấn "ログイン情報通知" -&gt; nhấn "OK"</t>
        </is>
      </c>
      <c r="S31" s="5" t="n"/>
      <c r="T31" s="5" t="n"/>
      <c r="U31" s="5" t="n"/>
      <c r="V31" s="5" t="n"/>
      <c r="W31" s="5" t="n"/>
      <c r="X31" s="6" t="n"/>
      <c r="Y31" s="62" t="inlineStr">
        <is>
          <t>Email chứa URL đăng nhập và thông tin tài khoản được gửi cho quản trị viên tenant.</t>
        </is>
      </c>
      <c r="Z31" s="5" t="n"/>
      <c r="AA31" s="5" t="n"/>
      <c r="AB31" s="5" t="n"/>
      <c r="AC31" s="5" t="n"/>
      <c r="AD31" s="6" t="n"/>
      <c r="AE31" s="63" t="inlineStr">
        <is>
          <t>H</t>
        </is>
      </c>
      <c r="AF31" s="6" t="n"/>
      <c r="AG31" s="63" t="n"/>
      <c r="AH31" s="6" t="n"/>
      <c r="AI31" s="63" t="n"/>
      <c r="AJ31" s="6" t="n"/>
      <c r="AK31" s="63" t="n"/>
      <c r="AL31" s="6" t="n"/>
      <c r="AM31" s="63" t="n"/>
      <c r="AN31" s="5" t="n"/>
      <c r="AO31" s="6" t="n"/>
      <c r="AP31" s="63" t="n"/>
      <c r="AQ31" s="6" t="n"/>
      <c r="AR31" s="62" t="n"/>
      <c r="AS31" s="5" t="n"/>
      <c r="AT31" s="6" t="n"/>
      <c r="AU31" s="63" t="n"/>
      <c r="AV31" s="6" t="n"/>
      <c r="AW31" s="63" t="n"/>
      <c r="AX31" s="6" t="n"/>
      <c r="AY31" s="63" t="n"/>
      <c r="AZ31" s="6" t="n"/>
      <c r="BA31" s="63" t="n"/>
      <c r="BB31" s="5" t="n"/>
      <c r="BC31" s="6" t="n"/>
      <c r="BD31" s="63" t="n"/>
      <c r="BE31" s="6" t="n"/>
      <c r="BF31" s="62" t="n"/>
      <c r="BG31" s="5" t="n"/>
      <c r="BH31" s="6" t="n"/>
      <c r="BI31" s="64" t="n"/>
      <c r="BJ31" s="5" t="n"/>
      <c r="BK31" s="42" t="n"/>
    </row>
    <row r="32" ht="60" customHeight="1">
      <c r="A32" s="65" t="inlineStr">
        <is>
          <t>UAT-WEB-026</t>
        </is>
      </c>
      <c r="B32" s="6" t="n"/>
      <c r="C32" s="66" t="inlineStr">
        <is>
          <t>Quản trị viên hệ thống</t>
        </is>
      </c>
      <c r="D32" s="5" t="n"/>
      <c r="E32" s="5" t="n"/>
      <c r="F32" s="6" t="n"/>
      <c r="G32" s="66" t="inlineStr">
        <is>
          <t>Quản lý tenant</t>
        </is>
      </c>
      <c r="H32" s="5" t="n"/>
      <c r="I32" s="6" t="n"/>
      <c r="J32" s="66" t="inlineStr">
        <is>
          <t>Không gửi lại cho quản trị viên tenant đã nhận email</t>
        </is>
      </c>
      <c r="K32" s="5" t="n"/>
      <c r="L32" s="6" t="n"/>
      <c r="M32" s="66" t="inlineStr">
        <is>
          <t>Quản trị viên tenant đã nhận email đăng nhập 1 lần.</t>
        </is>
      </c>
      <c r="N32" s="5" t="n"/>
      <c r="O32" s="5" t="n"/>
      <c r="P32" s="5" t="n"/>
      <c r="Q32" s="6" t="n"/>
      <c r="R32" s="66" t="inlineStr">
        <is>
          <t>① Chọn checkbox của tenant mục tiêu
② Nhấn "ログイン情報通知"</t>
        </is>
      </c>
      <c r="S32" s="5" t="n"/>
      <c r="T32" s="5" t="n"/>
      <c r="U32" s="5" t="n"/>
      <c r="V32" s="5" t="n"/>
      <c r="W32" s="5" t="n"/>
      <c r="X32" s="6" t="n"/>
      <c r="Y32" s="66" t="inlineStr">
        <is>
          <t>Quản trị viên tenant đã từng nhận email đăng nhập được loại khỏi đối tượng gửi và email không được gửi lại.</t>
        </is>
      </c>
      <c r="Z32" s="5" t="n"/>
      <c r="AA32" s="5" t="n"/>
      <c r="AB32" s="5" t="n"/>
      <c r="AC32" s="5" t="n"/>
      <c r="AD32" s="6" t="n"/>
      <c r="AE32" s="67" t="inlineStr">
        <is>
          <t>M</t>
        </is>
      </c>
      <c r="AF32" s="6" t="n"/>
      <c r="AG32" s="67" t="n"/>
      <c r="AH32" s="6" t="n"/>
      <c r="AI32" s="67" t="n"/>
      <c r="AJ32" s="6" t="n"/>
      <c r="AK32" s="67" t="n"/>
      <c r="AL32" s="6" t="n"/>
      <c r="AM32" s="67" t="n"/>
      <c r="AN32" s="5" t="n"/>
      <c r="AO32" s="6" t="n"/>
      <c r="AP32" s="67" t="n"/>
      <c r="AQ32" s="6" t="n"/>
      <c r="AR32" s="66" t="n"/>
      <c r="AS32" s="5" t="n"/>
      <c r="AT32" s="6" t="n"/>
      <c r="AU32" s="67" t="n"/>
      <c r="AV32" s="6" t="n"/>
      <c r="AW32" s="67" t="n"/>
      <c r="AX32" s="6" t="n"/>
      <c r="AY32" s="67" t="n"/>
      <c r="AZ32" s="6" t="n"/>
      <c r="BA32" s="67" t="n"/>
      <c r="BB32" s="5" t="n"/>
      <c r="BC32" s="6" t="n"/>
      <c r="BD32" s="67" t="n"/>
      <c r="BE32" s="6" t="n"/>
      <c r="BF32" s="66" t="n"/>
      <c r="BG32" s="5" t="n"/>
      <c r="BH32" s="6" t="n"/>
      <c r="BI32" s="68" t="n"/>
      <c r="BJ32" s="5" t="n"/>
      <c r="BK32" s="42" t="n"/>
    </row>
    <row r="33" ht="75" customHeight="1">
      <c r="A33" s="61" t="inlineStr">
        <is>
          <t>UAT-WEB-027</t>
        </is>
      </c>
      <c r="B33" s="6" t="n"/>
      <c r="C33" s="62" t="inlineStr">
        <is>
          <t>Quản trị viên hệ thống</t>
        </is>
      </c>
      <c r="D33" s="5" t="n"/>
      <c r="E33" s="5" t="n"/>
      <c r="F33" s="6" t="n"/>
      <c r="G33" s="62" t="inlineStr">
        <is>
          <t>Quản lý tenant</t>
        </is>
      </c>
      <c r="H33" s="5" t="n"/>
      <c r="I33" s="6" t="n"/>
      <c r="J33" s="62" t="inlineStr">
        <is>
          <t>Xuất danh sách tenant ra CSV</t>
        </is>
      </c>
      <c r="K33" s="5" t="n"/>
      <c r="L33" s="6" t="n"/>
      <c r="M33" s="62" t="inlineStr">
        <is>
          <t>Trong hệ thống có ít nhất 2 tenant.</t>
        </is>
      </c>
      <c r="N33" s="5" t="n"/>
      <c r="O33" s="5" t="n"/>
      <c r="P33" s="5" t="n"/>
      <c r="Q33" s="6" t="n"/>
      <c r="R33" s="62" t="inlineStr">
        <is>
          <t>① Chọn nhiều tenant bằng checkbox
② Nhấn "CSV出力"</t>
        </is>
      </c>
      <c r="S33" s="5" t="n"/>
      <c r="T33" s="5" t="n"/>
      <c r="U33" s="5" t="n"/>
      <c r="V33" s="5" t="n"/>
      <c r="W33" s="5" t="n"/>
      <c r="X33" s="6" t="n"/>
      <c r="Y33" s="62" t="inlineStr">
        <is>
          <t>File CSV tên tenantyyyyMMdd_hhmmss.csv được tải xuống và chứa toàn bộ thông tin tenant, thông tin hợp đồng và thông tin thanh toán.</t>
        </is>
      </c>
      <c r="Z33" s="5" t="n"/>
      <c r="AA33" s="5" t="n"/>
      <c r="AB33" s="5" t="n"/>
      <c r="AC33" s="5" t="n"/>
      <c r="AD33" s="6" t="n"/>
      <c r="AE33" s="63" t="inlineStr">
        <is>
          <t>M</t>
        </is>
      </c>
      <c r="AF33" s="6" t="n"/>
      <c r="AG33" s="63" t="n"/>
      <c r="AH33" s="6" t="n"/>
      <c r="AI33" s="63" t="n"/>
      <c r="AJ33" s="6" t="n"/>
      <c r="AK33" s="63" t="n"/>
      <c r="AL33" s="6" t="n"/>
      <c r="AM33" s="63" t="n"/>
      <c r="AN33" s="5" t="n"/>
      <c r="AO33" s="6" t="n"/>
      <c r="AP33" s="63" t="n"/>
      <c r="AQ33" s="6" t="n"/>
      <c r="AR33" s="62" t="n"/>
      <c r="AS33" s="5" t="n"/>
      <c r="AT33" s="6" t="n"/>
      <c r="AU33" s="63" t="n"/>
      <c r="AV33" s="6" t="n"/>
      <c r="AW33" s="63" t="n"/>
      <c r="AX33" s="6" t="n"/>
      <c r="AY33" s="63" t="n"/>
      <c r="AZ33" s="6" t="n"/>
      <c r="BA33" s="63" t="n"/>
      <c r="BB33" s="5" t="n"/>
      <c r="BC33" s="6" t="n"/>
      <c r="BD33" s="63" t="n"/>
      <c r="BE33" s="6" t="n"/>
      <c r="BF33" s="62" t="n"/>
      <c r="BG33" s="5" t="n"/>
      <c r="BH33" s="6" t="n"/>
      <c r="BI33" s="64" t="n"/>
      <c r="BJ33" s="5" t="n"/>
      <c r="BK33" s="42" t="n"/>
    </row>
    <row r="34" ht="75" customHeight="1">
      <c r="A34" s="65" t="inlineStr">
        <is>
          <t>UAT-WEB-028</t>
        </is>
      </c>
      <c r="B34" s="6" t="n"/>
      <c r="C34" s="66" t="inlineStr">
        <is>
          <t>Quản trị viên hệ thống</t>
        </is>
      </c>
      <c r="D34" s="5" t="n"/>
      <c r="E34" s="5" t="n"/>
      <c r="F34" s="6" t="n"/>
      <c r="G34" s="66" t="inlineStr">
        <is>
          <t>Quản lý tenant</t>
        </is>
      </c>
      <c r="H34" s="5" t="n"/>
      <c r="I34" s="6" t="n"/>
      <c r="J34" s="66" t="inlineStr">
        <is>
          <t>Khởi động batch thủ công để đồng bộ trạng thái người dùng</t>
        </is>
      </c>
      <c r="K34" s="5" t="n"/>
      <c r="L34" s="6" t="n"/>
      <c r="M34" s="66" t="inlineStr">
        <is>
          <t>Có người dùng ở trạng thái "登録待ち" và có tài khoản SIP trên MVE.</t>
        </is>
      </c>
      <c r="N34" s="5" t="n"/>
      <c r="O34" s="5" t="n"/>
      <c r="P34" s="5" t="n"/>
      <c r="Q34" s="6" t="n"/>
      <c r="R34" s="66" t="inlineStr">
        <is>
          <t>① Trên màn hình danh sách tenant, nhấn "手動起動"
② Kiểm tra popup</t>
        </is>
      </c>
      <c r="S34" s="5" t="n"/>
      <c r="T34" s="5" t="n"/>
      <c r="U34" s="5" t="n"/>
      <c r="V34" s="5" t="n"/>
      <c r="W34" s="5" t="n"/>
      <c r="X34" s="6" t="n"/>
      <c r="Y34" s="66" t="inlineStr">
        <is>
          <t>Người dùng có SIP trên MVE được cập nhật trạng thái thành "登録済み" và email thông báo kết quả được gửi cho quản trị viên tenant.</t>
        </is>
      </c>
      <c r="Z34" s="5" t="n"/>
      <c r="AA34" s="5" t="n"/>
      <c r="AB34" s="5" t="n"/>
      <c r="AC34" s="5" t="n"/>
      <c r="AD34" s="6" t="n"/>
      <c r="AE34" s="67" t="inlineStr">
        <is>
          <t>H</t>
        </is>
      </c>
      <c r="AF34" s="6" t="n"/>
      <c r="AG34" s="67" t="n"/>
      <c r="AH34" s="6" t="n"/>
      <c r="AI34" s="67" t="n"/>
      <c r="AJ34" s="6" t="n"/>
      <c r="AK34" s="67" t="n"/>
      <c r="AL34" s="6" t="n"/>
      <c r="AM34" s="67" t="n"/>
      <c r="AN34" s="5" t="n"/>
      <c r="AO34" s="6" t="n"/>
      <c r="AP34" s="67" t="n"/>
      <c r="AQ34" s="6" t="n"/>
      <c r="AR34" s="66" t="n"/>
      <c r="AS34" s="5" t="n"/>
      <c r="AT34" s="6" t="n"/>
      <c r="AU34" s="67" t="n"/>
      <c r="AV34" s="6" t="n"/>
      <c r="AW34" s="67" t="n"/>
      <c r="AX34" s="6" t="n"/>
      <c r="AY34" s="67" t="n"/>
      <c r="AZ34" s="6" t="n"/>
      <c r="BA34" s="67" t="n"/>
      <c r="BB34" s="5" t="n"/>
      <c r="BC34" s="6" t="n"/>
      <c r="BD34" s="67" t="n"/>
      <c r="BE34" s="6" t="n"/>
      <c r="BF34" s="66" t="n"/>
      <c r="BG34" s="5" t="n"/>
      <c r="BH34" s="6" t="n"/>
      <c r="BI34" s="68" t="n"/>
      <c r="BJ34" s="5" t="n"/>
      <c r="BK34" s="42" t="n"/>
    </row>
    <row r="35" ht="120" customHeight="1">
      <c r="A35" s="61" t="inlineStr">
        <is>
          <t>UAT-WEB-029</t>
        </is>
      </c>
      <c r="B35" s="6" t="n"/>
      <c r="C35" s="62" t="inlineStr">
        <is>
          <t>Quản trị viên hệ thống</t>
        </is>
      </c>
      <c r="D35" s="5" t="n"/>
      <c r="E35" s="5" t="n"/>
      <c r="F35" s="6" t="n"/>
      <c r="G35" s="62" t="inlineStr">
        <is>
          <t>Quản lý tenant</t>
        </is>
      </c>
      <c r="H35" s="5" t="n"/>
      <c r="I35" s="6" t="n"/>
      <c r="J35" s="62" t="inlineStr">
        <is>
          <t>Kiểm tra người dùng "削除済み" bằng batch tự động</t>
        </is>
      </c>
      <c r="K35" s="5" t="n"/>
      <c r="L35" s="6" t="n"/>
      <c r="M35" s="62" t="inlineStr">
        <is>
          <t>Có người dùng ở trạng thái "削除済み" và tài khoản SIP đã được xóa khỏi MVE.</t>
        </is>
      </c>
      <c r="N35" s="5" t="n"/>
      <c r="O35" s="5" t="n"/>
      <c r="P35" s="5" t="n"/>
      <c r="Q35" s="6" t="n"/>
      <c r="R35" s="62" t="inlineStr">
        <is>
          <t>Chờ batch tự động lúc 00:00 chạy hoặc khởi động thủ công.</t>
        </is>
      </c>
      <c r="S35" s="5" t="n"/>
      <c r="T35" s="5" t="n"/>
      <c r="U35" s="5" t="n"/>
      <c r="V35" s="5" t="n"/>
      <c r="W35" s="5" t="n"/>
      <c r="X35" s="6" t="n"/>
      <c r="Y35" s="62" t="inlineStr">
        <is>
          <t>Nếu SIP của người dùng "削除済み" không tồn tại trên MVE, thông tin SIP bị xóa khỏi database.
Khi kiểm tra trên màn hình danh sách người dùng, người dùng đã xóa không còn liên kết với số SIP.</t>
        </is>
      </c>
      <c r="Z35" s="5" t="n"/>
      <c r="AA35" s="5" t="n"/>
      <c r="AB35" s="5" t="n"/>
      <c r="AC35" s="5" t="n"/>
      <c r="AD35" s="6" t="n"/>
      <c r="AE35" s="63" t="inlineStr">
        <is>
          <t>M</t>
        </is>
      </c>
      <c r="AF35" s="6" t="n"/>
      <c r="AG35" s="63" t="n"/>
      <c r="AH35" s="6" t="n"/>
      <c r="AI35" s="63" t="n"/>
      <c r="AJ35" s="6" t="n"/>
      <c r="AK35" s="63" t="n"/>
      <c r="AL35" s="6" t="n"/>
      <c r="AM35" s="63" t="n"/>
      <c r="AN35" s="5" t="n"/>
      <c r="AO35" s="6" t="n"/>
      <c r="AP35" s="63" t="n"/>
      <c r="AQ35" s="6" t="n"/>
      <c r="AR35" s="62" t="n"/>
      <c r="AS35" s="5" t="n"/>
      <c r="AT35" s="6" t="n"/>
      <c r="AU35" s="63" t="n"/>
      <c r="AV35" s="6" t="n"/>
      <c r="AW35" s="63" t="n"/>
      <c r="AX35" s="6" t="n"/>
      <c r="AY35" s="63" t="n"/>
      <c r="AZ35" s="6" t="n"/>
      <c r="BA35" s="63" t="n"/>
      <c r="BB35" s="5" t="n"/>
      <c r="BC35" s="6" t="n"/>
      <c r="BD35" s="63" t="n"/>
      <c r="BE35" s="6" t="n"/>
      <c r="BF35" s="62" t="n"/>
      <c r="BG35" s="5" t="n"/>
      <c r="BH35" s="6" t="n"/>
      <c r="BI35" s="64" t="n"/>
      <c r="BJ35" s="5" t="n"/>
      <c r="BK35" s="42" t="n"/>
    </row>
    <row r="36" ht="45" customHeight="1">
      <c r="A36" s="65" t="inlineStr">
        <is>
          <t>UAT-WEB-030</t>
        </is>
      </c>
      <c r="B36" s="6" t="n"/>
      <c r="C36" s="66" t="inlineStr">
        <is>
          <t>Quản trị viên hệ thống</t>
        </is>
      </c>
      <c r="D36" s="5" t="n"/>
      <c r="E36" s="5" t="n"/>
      <c r="F36" s="6" t="n"/>
      <c r="G36" s="66" t="inlineStr">
        <is>
          <t>Quản lý tenant</t>
        </is>
      </c>
      <c r="H36" s="5" t="n"/>
      <c r="I36" s="6" t="n"/>
      <c r="J36" s="66" t="inlineStr">
        <is>
          <t>Tải xuống template CSV import người dùng</t>
        </is>
      </c>
      <c r="K36" s="5" t="n"/>
      <c r="L36" s="6" t="n"/>
      <c r="M36" s="66" t="inlineStr">
        <is>
          <t>Đăng nhập bằng quản trị viên hệ thống.</t>
        </is>
      </c>
      <c r="N36" s="5" t="n"/>
      <c r="O36" s="5" t="n"/>
      <c r="P36" s="5" t="n"/>
      <c r="Q36" s="6" t="n"/>
      <c r="R36" s="66" t="inlineStr">
        <is>
          <t>① Trên màn hình danh sách tenant, nhấn "CSVテンプレートダウンロード"</t>
        </is>
      </c>
      <c r="S36" s="5" t="n"/>
      <c r="T36" s="5" t="n"/>
      <c r="U36" s="5" t="n"/>
      <c r="V36" s="5" t="n"/>
      <c r="W36" s="5" t="n"/>
      <c r="X36" s="6" t="n"/>
      <c r="Y36" s="66" t="inlineStr">
        <is>
          <t>File người dùng.csv có header đúng định dạng được tải xuống.</t>
        </is>
      </c>
      <c r="Z36" s="5" t="n"/>
      <c r="AA36" s="5" t="n"/>
      <c r="AB36" s="5" t="n"/>
      <c r="AC36" s="5" t="n"/>
      <c r="AD36" s="6" t="n"/>
      <c r="AE36" s="67" t="inlineStr">
        <is>
          <t>M</t>
        </is>
      </c>
      <c r="AF36" s="6" t="n"/>
      <c r="AG36" s="67" t="n"/>
      <c r="AH36" s="6" t="n"/>
      <c r="AI36" s="67" t="n"/>
      <c r="AJ36" s="6" t="n"/>
      <c r="AK36" s="67" t="n"/>
      <c r="AL36" s="6" t="n"/>
      <c r="AM36" s="67" t="n"/>
      <c r="AN36" s="5" t="n"/>
      <c r="AO36" s="6" t="n"/>
      <c r="AP36" s="67" t="n"/>
      <c r="AQ36" s="6" t="n"/>
      <c r="AR36" s="66" t="n"/>
      <c r="AS36" s="5" t="n"/>
      <c r="AT36" s="6" t="n"/>
      <c r="AU36" s="67" t="n"/>
      <c r="AV36" s="6" t="n"/>
      <c r="AW36" s="67" t="n"/>
      <c r="AX36" s="6" t="n"/>
      <c r="AY36" s="67" t="n"/>
      <c r="AZ36" s="6" t="n"/>
      <c r="BA36" s="67" t="n"/>
      <c r="BB36" s="5" t="n"/>
      <c r="BC36" s="6" t="n"/>
      <c r="BD36" s="67" t="n"/>
      <c r="BE36" s="6" t="n"/>
      <c r="BF36" s="66" t="n"/>
      <c r="BG36" s="5" t="n"/>
      <c r="BH36" s="6" t="n"/>
      <c r="BI36" s="68" t="n"/>
      <c r="BJ36" s="5" t="n"/>
      <c r="BK36" s="42" t="n"/>
    </row>
    <row r="37" ht="180" customHeight="1">
      <c r="A37" s="61" t="inlineStr">
        <is>
          <t>UAT-WEB-031</t>
        </is>
      </c>
      <c r="B37" s="6" t="n"/>
      <c r="C37" s="62" t="inlineStr">
        <is>
          <t>Quản trị viên hệ thống</t>
        </is>
      </c>
      <c r="D37" s="5" t="n"/>
      <c r="E37" s="5" t="n"/>
      <c r="F37" s="6" t="n"/>
      <c r="G37" s="62" t="inlineStr">
        <is>
          <t>Import người dùng</t>
        </is>
      </c>
      <c r="H37" s="5" t="n"/>
      <c r="I37" s="6" t="n"/>
      <c r="J37" s="62" t="inlineStr">
        <is>
          <t>Kiểm tra chuyển đến màn hình import người dùng bằng role quản trị viên hệ thống</t>
        </is>
      </c>
      <c r="K37" s="5" t="n"/>
      <c r="L37" s="6" t="n"/>
      <c r="M37" s="62" t="inlineStr">
        <is>
          <t>Đăng nhập bằng quản trị viên hệ thống.</t>
        </is>
      </c>
      <c r="N37" s="5" t="n"/>
      <c r="O37" s="5" t="n"/>
      <c r="P37" s="5" t="n"/>
      <c r="Q37" s="6" t="n"/>
      <c r="R37" s="62" t="inlineStr">
        <is>
          <t>① Nhấn "テナント作成"
② Tick "固定電話利用する"
③ Nhập mã tenant trong phạm vi 111-154
④ Nhập tên tenant và logo công ty
⑤ Nhập thông tin hợp đồng và thông tin thanh toán
⑥ Nhập ít nhất 1 quản trị viên tenant
⑦ Nhấn "保存" -&gt; "OK"
⑧ Tại popup "ユーザー一括アップロード確認", nhấn "はい"</t>
        </is>
      </c>
      <c r="S37" s="5" t="n"/>
      <c r="T37" s="5" t="n"/>
      <c r="U37" s="5" t="n"/>
      <c r="V37" s="5" t="n"/>
      <c r="W37" s="5" t="n"/>
      <c r="X37" s="6" t="n"/>
      <c r="Y37" s="62" t="inlineStr">
        <is>
          <t>Màn hình "ユーザー一括アップロード" hiển thị.</t>
        </is>
      </c>
      <c r="Z37" s="5" t="n"/>
      <c r="AA37" s="5" t="n"/>
      <c r="AB37" s="5" t="n"/>
      <c r="AC37" s="5" t="n"/>
      <c r="AD37" s="6" t="n"/>
      <c r="AE37" s="63" t="inlineStr">
        <is>
          <t>H</t>
        </is>
      </c>
      <c r="AF37" s="6" t="n"/>
      <c r="AG37" s="63" t="n"/>
      <c r="AH37" s="6" t="n"/>
      <c r="AI37" s="63" t="n"/>
      <c r="AJ37" s="6" t="n"/>
      <c r="AK37" s="63" t="n"/>
      <c r="AL37" s="6" t="n"/>
      <c r="AM37" s="63" t="n"/>
      <c r="AN37" s="5" t="n"/>
      <c r="AO37" s="6" t="n"/>
      <c r="AP37" s="63" t="n"/>
      <c r="AQ37" s="6" t="n"/>
      <c r="AR37" s="62" t="n"/>
      <c r="AS37" s="5" t="n"/>
      <c r="AT37" s="6" t="n"/>
      <c r="AU37" s="63" t="n"/>
      <c r="AV37" s="6" t="n"/>
      <c r="AW37" s="63" t="n"/>
      <c r="AX37" s="6" t="n"/>
      <c r="AY37" s="63" t="n"/>
      <c r="AZ37" s="6" t="n"/>
      <c r="BA37" s="63" t="n"/>
      <c r="BB37" s="5" t="n"/>
      <c r="BC37" s="6" t="n"/>
      <c r="BD37" s="63" t="n"/>
      <c r="BE37" s="6" t="n"/>
      <c r="BF37" s="62" t="n"/>
      <c r="BG37" s="5" t="n"/>
      <c r="BH37" s="6" t="n"/>
      <c r="BI37" s="64" t="n"/>
      <c r="BJ37" s="5" t="n"/>
      <c r="BK37" s="42" t="n"/>
    </row>
    <row r="38" ht="45" customHeight="1">
      <c r="A38" s="65" t="inlineStr">
        <is>
          <t>UAT-WEB-032</t>
        </is>
      </c>
      <c r="B38" s="6" t="n"/>
      <c r="C38" s="66" t="inlineStr">
        <is>
          <t>Quản trị viên hệ thống</t>
        </is>
      </c>
      <c r="D38" s="5" t="n"/>
      <c r="E38" s="5" t="n"/>
      <c r="F38" s="6" t="n"/>
      <c r="G38" s="66" t="inlineStr">
        <is>
          <t>Import người dùng</t>
        </is>
      </c>
      <c r="H38" s="5" t="n"/>
      <c r="I38" s="6" t="n"/>
      <c r="J38" s="66" t="inlineStr">
        <is>
          <t>Kiểm tra chuyển đến màn hình import người dùng bằng role quản trị viên hệ thống</t>
        </is>
      </c>
      <c r="K38" s="5" t="n"/>
      <c r="L38" s="6" t="n"/>
      <c r="M38" s="66" t="inlineStr">
        <is>
          <t>Đăng nhập bằng quản trị viên hệ thống.</t>
        </is>
      </c>
      <c r="N38" s="5" t="n"/>
      <c r="O38" s="5" t="n"/>
      <c r="P38" s="5" t="n"/>
      <c r="Q38" s="6" t="n"/>
      <c r="R38" s="66" t="inlineStr">
        <is>
          <t>① Trên màn hình danh sách tenant, nhấn vào dòng tenant trong danh sách
② Nhấn "ユーザー一括アップロード"</t>
        </is>
      </c>
      <c r="S38" s="5" t="n"/>
      <c r="T38" s="5" t="n"/>
      <c r="U38" s="5" t="n"/>
      <c r="V38" s="5" t="n"/>
      <c r="W38" s="5" t="n"/>
      <c r="X38" s="6" t="n"/>
      <c r="Y38" s="66" t="inlineStr">
        <is>
          <t>Màn hình "ユーザー一括アップロード" hiển thị.</t>
        </is>
      </c>
      <c r="Z38" s="5" t="n"/>
      <c r="AA38" s="5" t="n"/>
      <c r="AB38" s="5" t="n"/>
      <c r="AC38" s="5" t="n"/>
      <c r="AD38" s="6" t="n"/>
      <c r="AE38" s="67" t="inlineStr">
        <is>
          <t>H</t>
        </is>
      </c>
      <c r="AF38" s="6" t="n"/>
      <c r="AG38" s="67" t="n"/>
      <c r="AH38" s="6" t="n"/>
      <c r="AI38" s="67" t="n"/>
      <c r="AJ38" s="6" t="n"/>
      <c r="AK38" s="67" t="n"/>
      <c r="AL38" s="6" t="n"/>
      <c r="AM38" s="67" t="n"/>
      <c r="AN38" s="5" t="n"/>
      <c r="AO38" s="6" t="n"/>
      <c r="AP38" s="67" t="n"/>
      <c r="AQ38" s="6" t="n"/>
      <c r="AR38" s="66" t="n"/>
      <c r="AS38" s="5" t="n"/>
      <c r="AT38" s="6" t="n"/>
      <c r="AU38" s="67" t="n"/>
      <c r="AV38" s="6" t="n"/>
      <c r="AW38" s="67" t="n"/>
      <c r="AX38" s="6" t="n"/>
      <c r="AY38" s="67" t="n"/>
      <c r="AZ38" s="6" t="n"/>
      <c r="BA38" s="67" t="n"/>
      <c r="BB38" s="5" t="n"/>
      <c r="BC38" s="6" t="n"/>
      <c r="BD38" s="67" t="n"/>
      <c r="BE38" s="6" t="n"/>
      <c r="BF38" s="66" t="n"/>
      <c r="BG38" s="5" t="n"/>
      <c r="BH38" s="6" t="n"/>
      <c r="BI38" s="68" t="n"/>
      <c r="BJ38" s="5" t="n"/>
      <c r="BK38" s="42" t="n"/>
    </row>
    <row r="39" ht="75" customHeight="1">
      <c r="A39" s="61" t="inlineStr">
        <is>
          <t>UAT-WEB-033</t>
        </is>
      </c>
      <c r="B39" s="6" t="n"/>
      <c r="C39" s="62" t="inlineStr">
        <is>
          <t>Quản trị viên hệ thống</t>
        </is>
      </c>
      <c r="D39" s="5" t="n"/>
      <c r="E39" s="5" t="n"/>
      <c r="F39" s="6" t="n"/>
      <c r="G39" s="62" t="inlineStr">
        <is>
          <t>Import người dùng</t>
        </is>
      </c>
      <c r="H39" s="5" t="n"/>
      <c r="I39" s="6" t="n"/>
      <c r="J39" s="62" t="inlineStr">
        <is>
          <t>Upload CSV hợp lệ - tạo thành công tất cả người dùng</t>
        </is>
      </c>
      <c r="K39" s="5" t="n"/>
      <c r="L39" s="6" t="n"/>
      <c r="M39" s="62" t="inlineStr">
        <is>
          <t>Đã đăng nhập bằng quản trị viên hệ thống. Tenant đã được tạo. Có file CSV đúng template và dữ liệu hợp lệ.</t>
        </is>
      </c>
      <c r="N39" s="5" t="n"/>
      <c r="O39" s="5" t="n"/>
      <c r="P39" s="5" t="n"/>
      <c r="Q39" s="6" t="n"/>
      <c r="R39" s="62" t="inlineStr">
        <is>
          <t>① Mở màn hình "ユーザー一括アップロード"
② Nhấn "ファイルを選択" và chọn file CSV hợp lệ
③ Nhấn "一括アップロード"</t>
        </is>
      </c>
      <c r="S39" s="5" t="n"/>
      <c r="T39" s="5" t="n"/>
      <c r="U39" s="5" t="n"/>
      <c r="V39" s="5" t="n"/>
      <c r="W39" s="5" t="n"/>
      <c r="X39" s="6" t="n"/>
      <c r="Y39" s="62" t="inlineStr">
        <is>
          <t>Thông báo thành công hiển thị và tất cả người dùng được tạo ở trạng thái "登録待ち". Thông tin người dùng chưa được đồng bộ với MVE.</t>
        </is>
      </c>
      <c r="Z39" s="5" t="n"/>
      <c r="AA39" s="5" t="n"/>
      <c r="AB39" s="5" t="n"/>
      <c r="AC39" s="5" t="n"/>
      <c r="AD39" s="6" t="n"/>
      <c r="AE39" s="63" t="inlineStr">
        <is>
          <t>H</t>
        </is>
      </c>
      <c r="AF39" s="6" t="n"/>
      <c r="AG39" s="63" t="n"/>
      <c r="AH39" s="6" t="n"/>
      <c r="AI39" s="63" t="n"/>
      <c r="AJ39" s="6" t="n"/>
      <c r="AK39" s="63" t="n"/>
      <c r="AL39" s="6" t="n"/>
      <c r="AM39" s="63" t="n"/>
      <c r="AN39" s="5" t="n"/>
      <c r="AO39" s="6" t="n"/>
      <c r="AP39" s="63" t="n"/>
      <c r="AQ39" s="6" t="n"/>
      <c r="AR39" s="62" t="n"/>
      <c r="AS39" s="5" t="n"/>
      <c r="AT39" s="6" t="n"/>
      <c r="AU39" s="63" t="n"/>
      <c r="AV39" s="6" t="n"/>
      <c r="AW39" s="63" t="n"/>
      <c r="AX39" s="6" t="n"/>
      <c r="AY39" s="63" t="n"/>
      <c r="AZ39" s="6" t="n"/>
      <c r="BA39" s="63" t="n"/>
      <c r="BB39" s="5" t="n"/>
      <c r="BC39" s="6" t="n"/>
      <c r="BD39" s="63" t="n"/>
      <c r="BE39" s="6" t="n"/>
      <c r="BF39" s="62" t="n"/>
      <c r="BG39" s="5" t="n"/>
      <c r="BH39" s="6" t="n"/>
      <c r="BI39" s="64" t="n"/>
      <c r="BJ39" s="5" t="n"/>
      <c r="BK39" s="42" t="n"/>
    </row>
    <row r="40" ht="75" customHeight="1">
      <c r="A40" s="65" t="inlineStr">
        <is>
          <t>UAT-WEB-034</t>
        </is>
      </c>
      <c r="B40" s="6" t="n"/>
      <c r="C40" s="66" t="inlineStr">
        <is>
          <t>Quản trị viên hệ thống</t>
        </is>
      </c>
      <c r="D40" s="5" t="n"/>
      <c r="E40" s="5" t="n"/>
      <c r="F40" s="6" t="n"/>
      <c r="G40" s="66" t="inlineStr">
        <is>
          <t>Import người dùng</t>
        </is>
      </c>
      <c r="H40" s="5" t="n"/>
      <c r="I40" s="6" t="n"/>
      <c r="J40" s="66" t="inlineStr">
        <is>
          <t>Upload thất bại - file không phải CSV</t>
        </is>
      </c>
      <c r="K40" s="5" t="n"/>
      <c r="L40" s="6" t="n"/>
      <c r="M40" s="66" t="inlineStr">
        <is>
          <t>Đăng nhập bằng quản trị viên hệ thống.</t>
        </is>
      </c>
      <c r="N40" s="5" t="n"/>
      <c r="O40" s="5" t="n"/>
      <c r="P40" s="5" t="n"/>
      <c r="Q40" s="6" t="n"/>
      <c r="R40" s="66" t="inlineStr">
        <is>
          <t>① Chọn file .xlsx hoặc .txt thay vì .csv
② Nhấn "一括アップロード"</t>
        </is>
      </c>
      <c r="S40" s="5" t="n"/>
      <c r="T40" s="5" t="n"/>
      <c r="U40" s="5" t="n"/>
      <c r="V40" s="5" t="n"/>
      <c r="W40" s="5" t="n"/>
      <c r="X40" s="6" t="n"/>
      <c r="Y40" s="66" t="inlineStr">
        <is>
          <t>Lỗi "アップロードされたファイルの形式が正しくありません。CSV形式のファイルを選択してください。" hiển thị và người dùng không được tạo.</t>
        </is>
      </c>
      <c r="Z40" s="5" t="n"/>
      <c r="AA40" s="5" t="n"/>
      <c r="AB40" s="5" t="n"/>
      <c r="AC40" s="5" t="n"/>
      <c r="AD40" s="6" t="n"/>
      <c r="AE40" s="67" t="inlineStr">
        <is>
          <t>H</t>
        </is>
      </c>
      <c r="AF40" s="6" t="n"/>
      <c r="AG40" s="67" t="n"/>
      <c r="AH40" s="6" t="n"/>
      <c r="AI40" s="67" t="n"/>
      <c r="AJ40" s="6" t="n"/>
      <c r="AK40" s="67" t="n"/>
      <c r="AL40" s="6" t="n"/>
      <c r="AM40" s="67" t="n"/>
      <c r="AN40" s="5" t="n"/>
      <c r="AO40" s="6" t="n"/>
      <c r="AP40" s="67" t="n"/>
      <c r="AQ40" s="6" t="n"/>
      <c r="AR40" s="66" t="n"/>
      <c r="AS40" s="5" t="n"/>
      <c r="AT40" s="6" t="n"/>
      <c r="AU40" s="67" t="n"/>
      <c r="AV40" s="6" t="n"/>
      <c r="AW40" s="67" t="n"/>
      <c r="AX40" s="6" t="n"/>
      <c r="AY40" s="67" t="n"/>
      <c r="AZ40" s="6" t="n"/>
      <c r="BA40" s="67" t="n"/>
      <c r="BB40" s="5" t="n"/>
      <c r="BC40" s="6" t="n"/>
      <c r="BD40" s="67" t="n"/>
      <c r="BE40" s="6" t="n"/>
      <c r="BF40" s="66" t="n"/>
      <c r="BG40" s="5" t="n"/>
      <c r="BH40" s="6" t="n"/>
      <c r="BI40" s="68" t="n"/>
      <c r="BJ40" s="5" t="n"/>
      <c r="BK40" s="42" t="n"/>
    </row>
    <row r="41" ht="60" customHeight="1">
      <c r="A41" s="61" t="inlineStr">
        <is>
          <t>UAT-WEB-035</t>
        </is>
      </c>
      <c r="B41" s="6" t="n"/>
      <c r="C41" s="62" t="inlineStr">
        <is>
          <t>Quản trị viên hệ thống</t>
        </is>
      </c>
      <c r="D41" s="5" t="n"/>
      <c r="E41" s="5" t="n"/>
      <c r="F41" s="6" t="n"/>
      <c r="G41" s="62" t="inlineStr">
        <is>
          <t>Import người dùng</t>
        </is>
      </c>
      <c r="H41" s="5" t="n"/>
      <c r="I41" s="6" t="n"/>
      <c r="J41" s="62" t="inlineStr">
        <is>
          <t>Upload thất bại - header CSV khác template</t>
        </is>
      </c>
      <c r="K41" s="5" t="n"/>
      <c r="L41" s="6" t="n"/>
      <c r="M41" s="62" t="inlineStr">
        <is>
          <t>Có file CSV với header khác template chuẩn.</t>
        </is>
      </c>
      <c r="N41" s="5" t="n"/>
      <c r="O41" s="5" t="n"/>
      <c r="P41" s="5" t="n"/>
      <c r="Q41" s="6" t="n"/>
      <c r="R41" s="62" t="inlineStr">
        <is>
          <t>① Chọn file CSV đã thay đổi header
② Nhấn "一括アップロード"</t>
        </is>
      </c>
      <c r="S41" s="5" t="n"/>
      <c r="T41" s="5" t="n"/>
      <c r="U41" s="5" t="n"/>
      <c r="V41" s="5" t="n"/>
      <c r="W41" s="5" t="n"/>
      <c r="X41" s="6" t="n"/>
      <c r="Y41" s="62" t="inlineStr">
        <is>
          <t>Lỗi header khác template hiển thị. Người dùng không được tạo và MVE API không được gọi.</t>
        </is>
      </c>
      <c r="Z41" s="5" t="n"/>
      <c r="AA41" s="5" t="n"/>
      <c r="AB41" s="5" t="n"/>
      <c r="AC41" s="5" t="n"/>
      <c r="AD41" s="6" t="n"/>
      <c r="AE41" s="63" t="inlineStr">
        <is>
          <t>H</t>
        </is>
      </c>
      <c r="AF41" s="6" t="n"/>
      <c r="AG41" s="63" t="n"/>
      <c r="AH41" s="6" t="n"/>
      <c r="AI41" s="63" t="n"/>
      <c r="AJ41" s="6" t="n"/>
      <c r="AK41" s="63" t="n"/>
      <c r="AL41" s="6" t="n"/>
      <c r="AM41" s="63" t="n"/>
      <c r="AN41" s="5" t="n"/>
      <c r="AO41" s="6" t="n"/>
      <c r="AP41" s="63" t="n"/>
      <c r="AQ41" s="6" t="n"/>
      <c r="AR41" s="62" t="n"/>
      <c r="AS41" s="5" t="n"/>
      <c r="AT41" s="6" t="n"/>
      <c r="AU41" s="63" t="n"/>
      <c r="AV41" s="6" t="n"/>
      <c r="AW41" s="63" t="n"/>
      <c r="AX41" s="6" t="n"/>
      <c r="AY41" s="63" t="n"/>
      <c r="AZ41" s="6" t="n"/>
      <c r="BA41" s="63" t="n"/>
      <c r="BB41" s="5" t="n"/>
      <c r="BC41" s="6" t="n"/>
      <c r="BD41" s="63" t="n"/>
      <c r="BE41" s="6" t="n"/>
      <c r="BF41" s="62" t="n"/>
      <c r="BG41" s="5" t="n"/>
      <c r="BH41" s="6" t="n"/>
      <c r="BI41" s="64" t="n"/>
      <c r="BJ41" s="5" t="n"/>
      <c r="BK41" s="42" t="n"/>
    </row>
    <row r="42" ht="60" customHeight="1">
      <c r="A42" s="65" t="inlineStr">
        <is>
          <t>UAT-WEB-036</t>
        </is>
      </c>
      <c r="B42" s="6" t="n"/>
      <c r="C42" s="66" t="inlineStr">
        <is>
          <t>Quản trị viên hệ thống</t>
        </is>
      </c>
      <c r="D42" s="5" t="n"/>
      <c r="E42" s="5" t="n"/>
      <c r="F42" s="6" t="n"/>
      <c r="G42" s="66" t="inlineStr">
        <is>
          <t>Import người dùng</t>
        </is>
      </c>
      <c r="H42" s="5" t="n"/>
      <c r="I42" s="6" t="n"/>
      <c r="J42" s="66" t="inlineStr">
        <is>
          <t>Upload thất bại - file CSV rỗng</t>
        </is>
      </c>
      <c r="K42" s="5" t="n"/>
      <c r="L42" s="6" t="n"/>
      <c r="M42" s="66" t="inlineStr">
        <is>
          <t>Có file CSV rỗng, không có header và không có dữ liệu.</t>
        </is>
      </c>
      <c r="N42" s="5" t="n"/>
      <c r="O42" s="5" t="n"/>
      <c r="P42" s="5" t="n"/>
      <c r="Q42" s="6" t="n"/>
      <c r="R42" s="66" t="inlineStr">
        <is>
          <t>① Upload file CSV rỗng
② Nhấn "一括アップロード"</t>
        </is>
      </c>
      <c r="S42" s="5" t="n"/>
      <c r="T42" s="5" t="n"/>
      <c r="U42" s="5" t="n"/>
      <c r="V42" s="5" t="n"/>
      <c r="W42" s="5" t="n"/>
      <c r="X42" s="6" t="n"/>
      <c r="Y42" s="66" t="inlineStr">
        <is>
          <t>Lỗi "CSVファイルにデータが存在しません。内容をご確認ください。" hiển thị và người dùng không được tạo.</t>
        </is>
      </c>
      <c r="Z42" s="5" t="n"/>
      <c r="AA42" s="5" t="n"/>
      <c r="AB42" s="5" t="n"/>
      <c r="AC42" s="5" t="n"/>
      <c r="AD42" s="6" t="n"/>
      <c r="AE42" s="67" t="inlineStr">
        <is>
          <t>H</t>
        </is>
      </c>
      <c r="AF42" s="6" t="n"/>
      <c r="AG42" s="67" t="n"/>
      <c r="AH42" s="6" t="n"/>
      <c r="AI42" s="67" t="n"/>
      <c r="AJ42" s="6" t="n"/>
      <c r="AK42" s="67" t="n"/>
      <c r="AL42" s="6" t="n"/>
      <c r="AM42" s="67" t="n"/>
      <c r="AN42" s="5" t="n"/>
      <c r="AO42" s="6" t="n"/>
      <c r="AP42" s="67" t="n"/>
      <c r="AQ42" s="6" t="n"/>
      <c r="AR42" s="66" t="n"/>
      <c r="AS42" s="5" t="n"/>
      <c r="AT42" s="6" t="n"/>
      <c r="AU42" s="67" t="n"/>
      <c r="AV42" s="6" t="n"/>
      <c r="AW42" s="67" t="n"/>
      <c r="AX42" s="6" t="n"/>
      <c r="AY42" s="67" t="n"/>
      <c r="AZ42" s="6" t="n"/>
      <c r="BA42" s="67" t="n"/>
      <c r="BB42" s="5" t="n"/>
      <c r="BC42" s="6" t="n"/>
      <c r="BD42" s="67" t="n"/>
      <c r="BE42" s="6" t="n"/>
      <c r="BF42" s="66" t="n"/>
      <c r="BG42" s="5" t="n"/>
      <c r="BH42" s="6" t="n"/>
      <c r="BI42" s="68" t="n"/>
      <c r="BJ42" s="5" t="n"/>
      <c r="BK42" s="42" t="n"/>
    </row>
    <row r="43" ht="75" customHeight="1">
      <c r="A43" s="61" t="inlineStr">
        <is>
          <t>UAT-WEB-037</t>
        </is>
      </c>
      <c r="B43" s="6" t="n"/>
      <c r="C43" s="62" t="inlineStr">
        <is>
          <t>Quản trị viên hệ thống</t>
        </is>
      </c>
      <c r="D43" s="5" t="n"/>
      <c r="E43" s="5" t="n"/>
      <c r="F43" s="6" t="n"/>
      <c r="G43" s="62" t="inlineStr">
        <is>
          <t>Import người dùng</t>
        </is>
      </c>
      <c r="H43" s="5" t="n"/>
      <c r="I43" s="6" t="n"/>
      <c r="J43" s="62" t="inlineStr">
        <is>
          <t>Upload thất bại - có dữ liệu lỗi (trùng email)</t>
        </is>
      </c>
      <c r="K43" s="5" t="n"/>
      <c r="L43" s="6" t="n"/>
      <c r="M43" s="62" t="inlineStr">
        <is>
          <t>File CSV hợp lệ nhưng có dòng chứa email đã tồn tại trong hệ thống.</t>
        </is>
      </c>
      <c r="N43" s="5" t="n"/>
      <c r="O43" s="5" t="n"/>
      <c r="P43" s="5" t="n"/>
      <c r="Q43" s="6" t="n"/>
      <c r="R43" s="62" t="inlineStr">
        <is>
          <t>① Upload file CSV có email trùng
② Nhấn "一括アップロード"</t>
        </is>
      </c>
      <c r="S43" s="5" t="n"/>
      <c r="T43" s="5" t="n"/>
      <c r="U43" s="5" t="n"/>
      <c r="V43" s="5" t="n"/>
      <c r="W43" s="5" t="n"/>
      <c r="X43" s="6" t="n"/>
      <c r="Y43" s="62" t="inlineStr">
        <is>
          <t>Lỗi hiển thị và link tải file lỗi hiển thị.
Người dùng không được tạo.
Cột ghi chú lỗi trong file lỗi ghi lỗi trùng email.</t>
        </is>
      </c>
      <c r="Z43" s="5" t="n"/>
      <c r="AA43" s="5" t="n"/>
      <c r="AB43" s="5" t="n"/>
      <c r="AC43" s="5" t="n"/>
      <c r="AD43" s="6" t="n"/>
      <c r="AE43" s="63" t="inlineStr">
        <is>
          <t>H</t>
        </is>
      </c>
      <c r="AF43" s="6" t="n"/>
      <c r="AG43" s="63" t="n"/>
      <c r="AH43" s="6" t="n"/>
      <c r="AI43" s="63" t="n"/>
      <c r="AJ43" s="6" t="n"/>
      <c r="AK43" s="63" t="n"/>
      <c r="AL43" s="6" t="n"/>
      <c r="AM43" s="63" t="n"/>
      <c r="AN43" s="5" t="n"/>
      <c r="AO43" s="6" t="n"/>
      <c r="AP43" s="63" t="n"/>
      <c r="AQ43" s="6" t="n"/>
      <c r="AR43" s="62" t="n"/>
      <c r="AS43" s="5" t="n"/>
      <c r="AT43" s="6" t="n"/>
      <c r="AU43" s="63" t="n"/>
      <c r="AV43" s="6" t="n"/>
      <c r="AW43" s="63" t="n"/>
      <c r="AX43" s="6" t="n"/>
      <c r="AY43" s="63" t="n"/>
      <c r="AZ43" s="6" t="n"/>
      <c r="BA43" s="63" t="n"/>
      <c r="BB43" s="5" t="n"/>
      <c r="BC43" s="6" t="n"/>
      <c r="BD43" s="63" t="n"/>
      <c r="BE43" s="6" t="n"/>
      <c r="BF43" s="62" t="n"/>
      <c r="BG43" s="5" t="n"/>
      <c r="BH43" s="6" t="n"/>
      <c r="BI43" s="64" t="n"/>
      <c r="BJ43" s="5" t="n"/>
      <c r="BK43" s="42" t="n"/>
    </row>
    <row r="44" ht="75" customHeight="1">
      <c r="A44" s="65" t="inlineStr">
        <is>
          <t>UAT-WEB-038</t>
        </is>
      </c>
      <c r="B44" s="6" t="n"/>
      <c r="C44" s="66" t="inlineStr">
        <is>
          <t>Quản trị viên hệ thống</t>
        </is>
      </c>
      <c r="D44" s="5" t="n"/>
      <c r="E44" s="5" t="n"/>
      <c r="F44" s="6" t="n"/>
      <c r="G44" s="66" t="inlineStr">
        <is>
          <t>Import người dùng</t>
        </is>
      </c>
      <c r="H44" s="5" t="n"/>
      <c r="I44" s="6" t="n"/>
      <c r="J44" s="66" t="inlineStr">
        <is>
          <t>Upload thất bại - trùng số SIP trong cùng tenant</t>
        </is>
      </c>
      <c r="K44" s="5" t="n"/>
      <c r="L44" s="6" t="n"/>
      <c r="M44" s="66" t="inlineStr">
        <is>
          <t>Trong file CSV có 2 dòng sử dụng cùng số máy nhánh SIP.</t>
        </is>
      </c>
      <c r="N44" s="5" t="n"/>
      <c r="O44" s="5" t="n"/>
      <c r="P44" s="5" t="n"/>
      <c r="Q44" s="6" t="n"/>
      <c r="R44" s="66" t="inlineStr">
        <is>
          <t>① Upload file CSV có số SIP trùng
② Nhấn "一括アップロード"</t>
        </is>
      </c>
      <c r="S44" s="5" t="n"/>
      <c r="T44" s="5" t="n"/>
      <c r="U44" s="5" t="n"/>
      <c r="V44" s="5" t="n"/>
      <c r="W44" s="5" t="n"/>
      <c r="X44" s="6" t="n"/>
      <c r="Y44" s="66" t="inlineStr">
        <is>
          <t>Lỗi hiển thị và link tải file lỗi hiển thị.
Người dùng không được tạo.
Cột ghi chú lỗi trong file lỗi ghi lỗi trùng số SIP.</t>
        </is>
      </c>
      <c r="Z44" s="5" t="n"/>
      <c r="AA44" s="5" t="n"/>
      <c r="AB44" s="5" t="n"/>
      <c r="AC44" s="5" t="n"/>
      <c r="AD44" s="6" t="n"/>
      <c r="AE44" s="67" t="inlineStr">
        <is>
          <t>H</t>
        </is>
      </c>
      <c r="AF44" s="6" t="n"/>
      <c r="AG44" s="67" t="n"/>
      <c r="AH44" s="6" t="n"/>
      <c r="AI44" s="67" t="n"/>
      <c r="AJ44" s="6" t="n"/>
      <c r="AK44" s="67" t="n"/>
      <c r="AL44" s="6" t="n"/>
      <c r="AM44" s="67" t="n"/>
      <c r="AN44" s="5" t="n"/>
      <c r="AO44" s="6" t="n"/>
      <c r="AP44" s="67" t="n"/>
      <c r="AQ44" s="6" t="n"/>
      <c r="AR44" s="66" t="n"/>
      <c r="AS44" s="5" t="n"/>
      <c r="AT44" s="6" t="n"/>
      <c r="AU44" s="67" t="n"/>
      <c r="AV44" s="6" t="n"/>
      <c r="AW44" s="67" t="n"/>
      <c r="AX44" s="6" t="n"/>
      <c r="AY44" s="67" t="n"/>
      <c r="AZ44" s="6" t="n"/>
      <c r="BA44" s="67" t="n"/>
      <c r="BB44" s="5" t="n"/>
      <c r="BC44" s="6" t="n"/>
      <c r="BD44" s="67" t="n"/>
      <c r="BE44" s="6" t="n"/>
      <c r="BF44" s="66" t="n"/>
      <c r="BG44" s="5" t="n"/>
      <c r="BH44" s="6" t="n"/>
      <c r="BI44" s="68" t="n"/>
      <c r="BJ44" s="5" t="n"/>
      <c r="BK44" s="42" t="n"/>
    </row>
    <row r="45" ht="75" customHeight="1">
      <c r="A45" s="61" t="inlineStr">
        <is>
          <t>UAT-WEB-039</t>
        </is>
      </c>
      <c r="B45" s="6" t="n"/>
      <c r="C45" s="62" t="inlineStr">
        <is>
          <t>Quản trị viên hệ thống</t>
        </is>
      </c>
      <c r="D45" s="5" t="n"/>
      <c r="E45" s="5" t="n"/>
      <c r="F45" s="6" t="n"/>
      <c r="G45" s="62" t="inlineStr">
        <is>
          <t>Import người dùng</t>
        </is>
      </c>
      <c r="H45" s="5" t="n"/>
      <c r="I45" s="6" t="n"/>
      <c r="J45" s="62" t="inlineStr">
        <is>
          <t>Upload lại sau khi sửa file lỗi</t>
        </is>
      </c>
      <c r="K45" s="5" t="n"/>
      <c r="L45" s="6" t="n"/>
      <c r="M45" s="62" t="inlineStr">
        <is>
          <t>Đã chuẩn bị file CSV sau khi sửa nội dung lỗi.</t>
        </is>
      </c>
      <c r="N45" s="5" t="n"/>
      <c r="O45" s="5" t="n"/>
      <c r="P45" s="5" t="n"/>
      <c r="Q45" s="6" t="n"/>
      <c r="R45" s="62" t="inlineStr">
        <is>
          <t>① Mở file lỗi
② Sửa dữ liệu theo nội dung ghi chú lỗi
③ Xóa cột ghi chú lỗi
④ Upload lại</t>
        </is>
      </c>
      <c r="S45" s="5" t="n"/>
      <c r="T45" s="5" t="n"/>
      <c r="U45" s="5" t="n"/>
      <c r="V45" s="5" t="n"/>
      <c r="W45" s="5" t="n"/>
      <c r="X45" s="6" t="n"/>
      <c r="Y45" s="62" t="inlineStr">
        <is>
          <t>Upload thành công và tất cả người dùng được tạo ở trạng thái "登録待ち".</t>
        </is>
      </c>
      <c r="Z45" s="5" t="n"/>
      <c r="AA45" s="5" t="n"/>
      <c r="AB45" s="5" t="n"/>
      <c r="AC45" s="5" t="n"/>
      <c r="AD45" s="6" t="n"/>
      <c r="AE45" s="63" t="inlineStr">
        <is>
          <t>H</t>
        </is>
      </c>
      <c r="AF45" s="6" t="n"/>
      <c r="AG45" s="63" t="n"/>
      <c r="AH45" s="6" t="n"/>
      <c r="AI45" s="63" t="n"/>
      <c r="AJ45" s="6" t="n"/>
      <c r="AK45" s="63" t="n"/>
      <c r="AL45" s="6" t="n"/>
      <c r="AM45" s="63" t="n"/>
      <c r="AN45" s="5" t="n"/>
      <c r="AO45" s="6" t="n"/>
      <c r="AP45" s="63" t="n"/>
      <c r="AQ45" s="6" t="n"/>
      <c r="AR45" s="62" t="n"/>
      <c r="AS45" s="5" t="n"/>
      <c r="AT45" s="6" t="n"/>
      <c r="AU45" s="63" t="n"/>
      <c r="AV45" s="6" t="n"/>
      <c r="AW45" s="63" t="n"/>
      <c r="AX45" s="6" t="n"/>
      <c r="AY45" s="63" t="n"/>
      <c r="AZ45" s="6" t="n"/>
      <c r="BA45" s="63" t="n"/>
      <c r="BB45" s="5" t="n"/>
      <c r="BC45" s="6" t="n"/>
      <c r="BD45" s="63" t="n"/>
      <c r="BE45" s="6" t="n"/>
      <c r="BF45" s="62" t="n"/>
      <c r="BG45" s="5" t="n"/>
      <c r="BH45" s="6" t="n"/>
      <c r="BI45" s="64" t="n"/>
      <c r="BJ45" s="5" t="n"/>
      <c r="BK45" s="42" t="n"/>
    </row>
    <row r="46" ht="30" customHeight="1">
      <c r="A46" s="65" t="inlineStr">
        <is>
          <t>UAT-WEB-040</t>
        </is>
      </c>
      <c r="B46" s="6" t="n"/>
      <c r="C46" s="66" t="inlineStr">
        <is>
          <t>Quản trị viên hệ thống</t>
        </is>
      </c>
      <c r="D46" s="5" t="n"/>
      <c r="E46" s="5" t="n"/>
      <c r="F46" s="6" t="n"/>
      <c r="G46" s="66" t="inlineStr">
        <is>
          <t>Import người dùng</t>
        </is>
      </c>
      <c r="H46" s="5" t="n"/>
      <c r="I46" s="6" t="n"/>
      <c r="J46" s="66" t="inlineStr">
        <is>
          <t>Upload thất bại - file vượt quá 50MB</t>
        </is>
      </c>
      <c r="K46" s="5" t="n"/>
      <c r="L46" s="6" t="n"/>
      <c r="M46" s="66" t="inlineStr">
        <is>
          <t>Có file CSV vượt quá 50MB.</t>
        </is>
      </c>
      <c r="N46" s="5" t="n"/>
      <c r="O46" s="5" t="n"/>
      <c r="P46" s="5" t="n"/>
      <c r="Q46" s="6" t="n"/>
      <c r="R46" s="66" t="inlineStr">
        <is>
          <t>① Chọn file lớn hơn 50MB
② Nhấn "一括アップロード"</t>
        </is>
      </c>
      <c r="S46" s="5" t="n"/>
      <c r="T46" s="5" t="n"/>
      <c r="U46" s="5" t="n"/>
      <c r="V46" s="5" t="n"/>
      <c r="W46" s="5" t="n"/>
      <c r="X46" s="6" t="n"/>
      <c r="Y46" s="66" t="inlineStr">
        <is>
          <t>Lỗi dung lượng file hiển thị và file không được xử lý.</t>
        </is>
      </c>
      <c r="Z46" s="5" t="n"/>
      <c r="AA46" s="5" t="n"/>
      <c r="AB46" s="5" t="n"/>
      <c r="AC46" s="5" t="n"/>
      <c r="AD46" s="6" t="n"/>
      <c r="AE46" s="67" t="inlineStr">
        <is>
          <t>M</t>
        </is>
      </c>
      <c r="AF46" s="6" t="n"/>
      <c r="AG46" s="67" t="n"/>
      <c r="AH46" s="6" t="n"/>
      <c r="AI46" s="67" t="n"/>
      <c r="AJ46" s="6" t="n"/>
      <c r="AK46" s="67" t="n"/>
      <c r="AL46" s="6" t="n"/>
      <c r="AM46" s="67" t="n"/>
      <c r="AN46" s="5" t="n"/>
      <c r="AO46" s="6" t="n"/>
      <c r="AP46" s="67" t="n"/>
      <c r="AQ46" s="6" t="n"/>
      <c r="AR46" s="66" t="n"/>
      <c r="AS46" s="5" t="n"/>
      <c r="AT46" s="6" t="n"/>
      <c r="AU46" s="67" t="n"/>
      <c r="AV46" s="6" t="n"/>
      <c r="AW46" s="67" t="n"/>
      <c r="AX46" s="6" t="n"/>
      <c r="AY46" s="67" t="n"/>
      <c r="AZ46" s="6" t="n"/>
      <c r="BA46" s="67" t="n"/>
      <c r="BB46" s="5" t="n"/>
      <c r="BC46" s="6" t="n"/>
      <c r="BD46" s="67" t="n"/>
      <c r="BE46" s="6" t="n"/>
      <c r="BF46" s="66" t="n"/>
      <c r="BG46" s="5" t="n"/>
      <c r="BH46" s="6" t="n"/>
      <c r="BI46" s="68" t="n"/>
      <c r="BJ46" s="5" t="n"/>
      <c r="BK46" s="42" t="n"/>
    </row>
    <row r="47" ht="75" customHeight="1">
      <c r="A47" s="61" t="inlineStr">
        <is>
          <t>UAT-WEB-041</t>
        </is>
      </c>
      <c r="B47" s="6" t="n"/>
      <c r="C47" s="62" t="inlineStr">
        <is>
          <t>Quản trị viên hệ thống</t>
        </is>
      </c>
      <c r="D47" s="5" t="n"/>
      <c r="E47" s="5" t="n"/>
      <c r="F47" s="6" t="n"/>
      <c r="G47" s="62" t="inlineStr">
        <is>
          <t>Import người dùng</t>
        </is>
      </c>
      <c r="H47" s="5" t="n"/>
      <c r="I47" s="6" t="n"/>
      <c r="J47" s="62" t="inlineStr">
        <is>
          <t>Upload thất bại - số SIP không hợp lệ</t>
        </is>
      </c>
      <c r="K47" s="5" t="n"/>
      <c r="L47" s="6" t="n"/>
      <c r="M47" s="62" t="inlineStr">
        <is>
          <t>Tenant ID = 111 nhưng số SIP nằm ngoài phạm vi 11000-11899.</t>
        </is>
      </c>
      <c r="N47" s="5" t="n"/>
      <c r="O47" s="5" t="n"/>
      <c r="P47" s="5" t="n"/>
      <c r="Q47" s="6" t="n"/>
      <c r="R47" s="62" t="inlineStr">
        <is>
          <t>① Upload file CSV có SIP ngoài phạm vi 11000-11899
② Nhấn "一括アップロード"</t>
        </is>
      </c>
      <c r="S47" s="5" t="n"/>
      <c r="T47" s="5" t="n"/>
      <c r="U47" s="5" t="n"/>
      <c r="V47" s="5" t="n"/>
      <c r="W47" s="5" t="n"/>
      <c r="X47" s="6" t="n"/>
      <c r="Y47" s="62" t="inlineStr">
        <is>
          <t>Lỗi hiển thị và link tải file lỗi hiển thị.
Người dùng không được tạo.
Cột ghi chú lỗi trong file lỗi ghi số SIP không hợp lệ.</t>
        </is>
      </c>
      <c r="Z47" s="5" t="n"/>
      <c r="AA47" s="5" t="n"/>
      <c r="AB47" s="5" t="n"/>
      <c r="AC47" s="5" t="n"/>
      <c r="AD47" s="6" t="n"/>
      <c r="AE47" s="63" t="inlineStr">
        <is>
          <t>H</t>
        </is>
      </c>
      <c r="AF47" s="6" t="n"/>
      <c r="AG47" s="63" t="n"/>
      <c r="AH47" s="6" t="n"/>
      <c r="AI47" s="63" t="n"/>
      <c r="AJ47" s="6" t="n"/>
      <c r="AK47" s="63" t="n"/>
      <c r="AL47" s="6" t="n"/>
      <c r="AM47" s="63" t="n"/>
      <c r="AN47" s="5" t="n"/>
      <c r="AO47" s="6" t="n"/>
      <c r="AP47" s="63" t="n"/>
      <c r="AQ47" s="6" t="n"/>
      <c r="AR47" s="62" t="n"/>
      <c r="AS47" s="5" t="n"/>
      <c r="AT47" s="6" t="n"/>
      <c r="AU47" s="63" t="n"/>
      <c r="AV47" s="6" t="n"/>
      <c r="AW47" s="63" t="n"/>
      <c r="AX47" s="6" t="n"/>
      <c r="AY47" s="63" t="n"/>
      <c r="AZ47" s="6" t="n"/>
      <c r="BA47" s="63" t="n"/>
      <c r="BB47" s="5" t="n"/>
      <c r="BC47" s="6" t="n"/>
      <c r="BD47" s="63" t="n"/>
      <c r="BE47" s="6" t="n"/>
      <c r="BF47" s="62" t="n"/>
      <c r="BG47" s="5" t="n"/>
      <c r="BH47" s="6" t="n"/>
      <c r="BI47" s="64" t="n"/>
      <c r="BJ47" s="5" t="n"/>
      <c r="BK47" s="42" t="n"/>
    </row>
    <row r="48" ht="75" customHeight="1">
      <c r="A48" s="65" t="inlineStr">
        <is>
          <t>UAT-WEB-042</t>
        </is>
      </c>
      <c r="B48" s="6" t="n"/>
      <c r="C48" s="66" t="inlineStr">
        <is>
          <t>Quản trị viên hệ thống</t>
        </is>
      </c>
      <c r="D48" s="5" t="n"/>
      <c r="E48" s="5" t="n"/>
      <c r="F48" s="6" t="n"/>
      <c r="G48" s="66" t="inlineStr">
        <is>
          <t>Import người dùng</t>
        </is>
      </c>
      <c r="H48" s="5" t="n"/>
      <c r="I48" s="6" t="n"/>
      <c r="J48" s="66" t="inlineStr">
        <is>
          <t>Upload thất bại - số SIP không hợp lệ</t>
        </is>
      </c>
      <c r="K48" s="5" t="n"/>
      <c r="L48" s="6" t="n"/>
      <c r="M48" s="66" t="inlineStr">
        <is>
          <t>Tenant ID = 500 nhưng số SIP nằm ngoài phạm vi 10000-99899.</t>
        </is>
      </c>
      <c r="N48" s="5" t="n"/>
      <c r="O48" s="5" t="n"/>
      <c r="P48" s="5" t="n"/>
      <c r="Q48" s="6" t="n"/>
      <c r="R48" s="66" t="inlineStr">
        <is>
          <t>① Upload file CSV có SIP ngoài phạm vi 10000-99899
② Nhấn "一括アップロード"</t>
        </is>
      </c>
      <c r="S48" s="5" t="n"/>
      <c r="T48" s="5" t="n"/>
      <c r="U48" s="5" t="n"/>
      <c r="V48" s="5" t="n"/>
      <c r="W48" s="5" t="n"/>
      <c r="X48" s="6" t="n"/>
      <c r="Y48" s="66" t="inlineStr">
        <is>
          <t>Lỗi hiển thị và link tải file lỗi hiển thị.
Người dùng không được tạo.
Cột ghi chú lỗi trong file lỗi ghi số SIP không hợp lệ.</t>
        </is>
      </c>
      <c r="Z48" s="5" t="n"/>
      <c r="AA48" s="5" t="n"/>
      <c r="AB48" s="5" t="n"/>
      <c r="AC48" s="5" t="n"/>
      <c r="AD48" s="6" t="n"/>
      <c r="AE48" s="67" t="inlineStr">
        <is>
          <t>H</t>
        </is>
      </c>
      <c r="AF48" s="6" t="n"/>
      <c r="AG48" s="67" t="n"/>
      <c r="AH48" s="6" t="n"/>
      <c r="AI48" s="67" t="n"/>
      <c r="AJ48" s="6" t="n"/>
      <c r="AK48" s="67" t="n"/>
      <c r="AL48" s="6" t="n"/>
      <c r="AM48" s="67" t="n"/>
      <c r="AN48" s="5" t="n"/>
      <c r="AO48" s="6" t="n"/>
      <c r="AP48" s="67" t="n"/>
      <c r="AQ48" s="6" t="n"/>
      <c r="AR48" s="66" t="n"/>
      <c r="AS48" s="5" t="n"/>
      <c r="AT48" s="6" t="n"/>
      <c r="AU48" s="67" t="n"/>
      <c r="AV48" s="6" t="n"/>
      <c r="AW48" s="67" t="n"/>
      <c r="AX48" s="6" t="n"/>
      <c r="AY48" s="67" t="n"/>
      <c r="AZ48" s="6" t="n"/>
      <c r="BA48" s="67" t="n"/>
      <c r="BB48" s="5" t="n"/>
      <c r="BC48" s="6" t="n"/>
      <c r="BD48" s="67" t="n"/>
      <c r="BE48" s="6" t="n"/>
      <c r="BF48" s="66" t="n"/>
      <c r="BG48" s="5" t="n"/>
      <c r="BH48" s="6" t="n"/>
      <c r="BI48" s="68" t="n"/>
      <c r="BJ48" s="5" t="n"/>
      <c r="BK48" s="42" t="n"/>
    </row>
    <row r="49" ht="135" customHeight="1">
      <c r="A49" s="61" t="inlineStr">
        <is>
          <t>UAT-WEB-043</t>
        </is>
      </c>
      <c r="B49" s="6" t="n"/>
      <c r="C49" s="62" t="inlineStr">
        <is>
          <t>Quản trị viên tenant</t>
        </is>
      </c>
      <c r="D49" s="5" t="n"/>
      <c r="E49" s="5" t="n"/>
      <c r="F49" s="6" t="n"/>
      <c r="G49" s="62" t="inlineStr">
        <is>
          <t>Đăng nhập và bảo mật</t>
        </is>
      </c>
      <c r="H49" s="5" t="n"/>
      <c r="I49" s="6" t="n"/>
      <c r="J49" s="62" t="inlineStr">
        <is>
          <t>Quản trị viên tenant đăng nhập - nhận và nhập OTP thành công</t>
        </is>
      </c>
      <c r="K49" s="5" t="n"/>
      <c r="L49" s="6" t="n"/>
      <c r="M49" s="62" t="inlineStr">
        <is>
          <t>Tài khoản quản trị viên tenant hợp lệ.</t>
        </is>
      </c>
      <c r="N49" s="5" t="n"/>
      <c r="O49" s="5" t="n"/>
      <c r="P49" s="5" t="n"/>
      <c r="Q49" s="6" t="n"/>
      <c r="R49" s="62" t="inlineStr">
        <is>
          <t>① 第1回（DEV）: truy cập https://dev.apl.purattocall.com/admin/login
第2回（PRD）: truy cập https://apl.purattocall.com/admin/login
② Nhập email và mật khẩu hợp lệ
③ Nhấn "ログイン"
④ Kiểm tra đã nhận mã OTP 6 chữ số qua email
⑤ Nhập OTP và nhấn "ログイン"</t>
        </is>
      </c>
      <c r="S49" s="5" t="n"/>
      <c r="T49" s="5" t="n"/>
      <c r="U49" s="5" t="n"/>
      <c r="V49" s="5" t="n"/>
      <c r="W49" s="5" t="n"/>
      <c r="X49" s="6" t="n"/>
      <c r="Y49" s="62" t="inlineStr">
        <is>
          <t>Đăng nhập thành công. Chuyển đến màn hình danh sách người dùng. OTP có hiệu lực trong 3 phút.</t>
        </is>
      </c>
      <c r="Z49" s="5" t="n"/>
      <c r="AA49" s="5" t="n"/>
      <c r="AB49" s="5" t="n"/>
      <c r="AC49" s="5" t="n"/>
      <c r="AD49" s="6" t="n"/>
      <c r="AE49" s="63" t="inlineStr">
        <is>
          <t>H</t>
        </is>
      </c>
      <c r="AF49" s="6" t="n"/>
      <c r="AG49" s="63" t="n"/>
      <c r="AH49" s="6" t="n"/>
      <c r="AI49" s="63" t="n"/>
      <c r="AJ49" s="6" t="n"/>
      <c r="AK49" s="63" t="n"/>
      <c r="AL49" s="6" t="n"/>
      <c r="AM49" s="63" t="n"/>
      <c r="AN49" s="5" t="n"/>
      <c r="AO49" s="6" t="n"/>
      <c r="AP49" s="63" t="n"/>
      <c r="AQ49" s="6" t="n"/>
      <c r="AR49" s="62" t="n"/>
      <c r="AS49" s="5" t="n"/>
      <c r="AT49" s="6" t="n"/>
      <c r="AU49" s="63" t="n"/>
      <c r="AV49" s="6" t="n"/>
      <c r="AW49" s="63" t="n"/>
      <c r="AX49" s="6" t="n"/>
      <c r="AY49" s="63" t="n"/>
      <c r="AZ49" s="6" t="n"/>
      <c r="BA49" s="63" t="n"/>
      <c r="BB49" s="5" t="n"/>
      <c r="BC49" s="6" t="n"/>
      <c r="BD49" s="63" t="n"/>
      <c r="BE49" s="6" t="n"/>
      <c r="BF49" s="62" t="n"/>
      <c r="BG49" s="5" t="n"/>
      <c r="BH49" s="6" t="n"/>
      <c r="BI49" s="64" t="n"/>
      <c r="BJ49" s="5" t="n"/>
      <c r="BK49" s="42" t="n"/>
    </row>
    <row r="50" ht="60" customHeight="1">
      <c r="A50" s="65" t="inlineStr">
        <is>
          <t>UAT-WEB-044</t>
        </is>
      </c>
      <c r="B50" s="6" t="n"/>
      <c r="C50" s="66" t="inlineStr">
        <is>
          <t>Quản trị viên tenant</t>
        </is>
      </c>
      <c r="D50" s="5" t="n"/>
      <c r="E50" s="5" t="n"/>
      <c r="F50" s="6" t="n"/>
      <c r="G50" s="66" t="inlineStr">
        <is>
          <t>Đăng nhập và bảo mật</t>
        </is>
      </c>
      <c r="H50" s="5" t="n"/>
      <c r="I50" s="6" t="n"/>
      <c r="J50" s="66" t="inlineStr">
        <is>
          <t>OTP hết hạn - gửi lại OTP thành công</t>
        </is>
      </c>
      <c r="K50" s="5" t="n"/>
      <c r="L50" s="6" t="n"/>
      <c r="M50" s="66" t="inlineStr">
        <is>
          <t>Đang hiển thị màn hình nhập OTP của quản trị viên tenant. OTP hết hạn sau 3 phút.</t>
        </is>
      </c>
      <c r="N50" s="5" t="n"/>
      <c r="O50" s="5" t="n"/>
      <c r="P50" s="5" t="n"/>
      <c r="Q50" s="6" t="n"/>
      <c r="R50" s="66" t="inlineStr">
        <is>
          <t>① Chờ quá 3 phút để OTP hết hạn
② Nhấn nút "再送信"
③ Nhập OTP mới nhận được</t>
        </is>
      </c>
      <c r="S50" s="5" t="n"/>
      <c r="T50" s="5" t="n"/>
      <c r="U50" s="5" t="n"/>
      <c r="V50" s="5" t="n"/>
      <c r="W50" s="5" t="n"/>
      <c r="X50" s="6" t="n"/>
      <c r="Y50" s="66" t="inlineStr">
        <is>
          <t>Mã OTP mới được gửi và có thể đăng nhập bằng mã mới.</t>
        </is>
      </c>
      <c r="Z50" s="5" t="n"/>
      <c r="AA50" s="5" t="n"/>
      <c r="AB50" s="5" t="n"/>
      <c r="AC50" s="5" t="n"/>
      <c r="AD50" s="6" t="n"/>
      <c r="AE50" s="67" t="inlineStr">
        <is>
          <t>M</t>
        </is>
      </c>
      <c r="AF50" s="6" t="n"/>
      <c r="AG50" s="67" t="n"/>
      <c r="AH50" s="6" t="n"/>
      <c r="AI50" s="67" t="n"/>
      <c r="AJ50" s="6" t="n"/>
      <c r="AK50" s="67" t="n"/>
      <c r="AL50" s="6" t="n"/>
      <c r="AM50" s="67" t="n"/>
      <c r="AN50" s="5" t="n"/>
      <c r="AO50" s="6" t="n"/>
      <c r="AP50" s="67" t="n"/>
      <c r="AQ50" s="6" t="n"/>
      <c r="AR50" s="66" t="n"/>
      <c r="AS50" s="5" t="n"/>
      <c r="AT50" s="6" t="n"/>
      <c r="AU50" s="67" t="n"/>
      <c r="AV50" s="6" t="n"/>
      <c r="AW50" s="67" t="n"/>
      <c r="AX50" s="6" t="n"/>
      <c r="AY50" s="67" t="n"/>
      <c r="AZ50" s="6" t="n"/>
      <c r="BA50" s="67" t="n"/>
      <c r="BB50" s="5" t="n"/>
      <c r="BC50" s="6" t="n"/>
      <c r="BD50" s="67" t="n"/>
      <c r="BE50" s="6" t="n"/>
      <c r="BF50" s="66" t="n"/>
      <c r="BG50" s="5" t="n"/>
      <c r="BH50" s="6" t="n"/>
      <c r="BI50" s="68" t="n"/>
      <c r="BJ50" s="5" t="n"/>
      <c r="BK50" s="42" t="n"/>
    </row>
    <row r="51" ht="150" customHeight="1">
      <c r="A51" s="61" t="inlineStr">
        <is>
          <t>UAT-WEB-045</t>
        </is>
      </c>
      <c r="B51" s="6" t="n"/>
      <c r="C51" s="62" t="inlineStr">
        <is>
          <t>Quản trị viên tenant</t>
        </is>
      </c>
      <c r="D51" s="5" t="n"/>
      <c r="E51" s="5" t="n"/>
      <c r="F51" s="6" t="n"/>
      <c r="G51" s="62" t="inlineStr">
        <is>
          <t>Đăng nhập và bảo mật</t>
        </is>
      </c>
      <c r="H51" s="5" t="n"/>
      <c r="I51" s="6" t="n"/>
      <c r="J51" s="62" t="inlineStr">
        <is>
          <t>Đổi mật khẩu thành công</t>
        </is>
      </c>
      <c r="K51" s="5" t="n"/>
      <c r="L51" s="6" t="n"/>
      <c r="M51" s="62" t="inlineStr">
        <is>
          <t>Đã đăng nhập bằng một role bất kỳ.</t>
        </is>
      </c>
      <c r="N51" s="5" t="n"/>
      <c r="O51" s="5" t="n"/>
      <c r="P51" s="5" t="n"/>
      <c r="Q51" s="6" t="n"/>
      <c r="R51" s="62" t="inlineStr">
        <is>
          <t>① Nhấn tên người dùng ở góc trên bên phải, sau đó nhấn "パスワード変更"
② Nhập mật khẩu hiện tại
③ Nhập mật khẩu mới (tối thiểu 8 ký tự, có chữ hoa, số và ký tự đặc biệt)
④ Nhập lại mật khẩu mới để xác nhận
⑤ Nhấn "確認"</t>
        </is>
      </c>
      <c r="S51" s="5" t="n"/>
      <c r="T51" s="5" t="n"/>
      <c r="U51" s="5" t="n"/>
      <c r="V51" s="5" t="n"/>
      <c r="W51" s="5" t="n"/>
      <c r="X51" s="6" t="n"/>
      <c r="Y51" s="62" t="inlineStr">
        <is>
          <t>Mật khẩu được cập nhật thành công và có thể đăng nhập bằng mật khẩu mới.</t>
        </is>
      </c>
      <c r="Z51" s="5" t="n"/>
      <c r="AA51" s="5" t="n"/>
      <c r="AB51" s="5" t="n"/>
      <c r="AC51" s="5" t="n"/>
      <c r="AD51" s="6" t="n"/>
      <c r="AE51" s="63" t="inlineStr">
        <is>
          <t>H</t>
        </is>
      </c>
      <c r="AF51" s="6" t="n"/>
      <c r="AG51" s="63" t="n"/>
      <c r="AH51" s="6" t="n"/>
      <c r="AI51" s="63" t="n"/>
      <c r="AJ51" s="6" t="n"/>
      <c r="AK51" s="63" t="n"/>
      <c r="AL51" s="6" t="n"/>
      <c r="AM51" s="63" t="n"/>
      <c r="AN51" s="5" t="n"/>
      <c r="AO51" s="6" t="n"/>
      <c r="AP51" s="63" t="n"/>
      <c r="AQ51" s="6" t="n"/>
      <c r="AR51" s="62" t="n"/>
      <c r="AS51" s="5" t="n"/>
      <c r="AT51" s="6" t="n"/>
      <c r="AU51" s="63" t="n"/>
      <c r="AV51" s="6" t="n"/>
      <c r="AW51" s="63" t="n"/>
      <c r="AX51" s="6" t="n"/>
      <c r="AY51" s="63" t="n"/>
      <c r="AZ51" s="6" t="n"/>
      <c r="BA51" s="63" t="n"/>
      <c r="BB51" s="5" t="n"/>
      <c r="BC51" s="6" t="n"/>
      <c r="BD51" s="63" t="n"/>
      <c r="BE51" s="6" t="n"/>
      <c r="BF51" s="62" t="n"/>
      <c r="BG51" s="5" t="n"/>
      <c r="BH51" s="6" t="n"/>
      <c r="BI51" s="64" t="n"/>
      <c r="BJ51" s="5" t="n"/>
      <c r="BK51" s="42" t="n"/>
    </row>
    <row r="52" ht="75" customHeight="1">
      <c r="A52" s="65" t="inlineStr">
        <is>
          <t>UAT-WEB-046</t>
        </is>
      </c>
      <c r="B52" s="6" t="n"/>
      <c r="C52" s="66" t="inlineStr">
        <is>
          <t>Quản trị viên tenant</t>
        </is>
      </c>
      <c r="D52" s="5" t="n"/>
      <c r="E52" s="5" t="n"/>
      <c r="F52" s="6" t="n"/>
      <c r="G52" s="66" t="inlineStr">
        <is>
          <t>Đăng nhập và bảo mật</t>
        </is>
      </c>
      <c r="H52" s="5" t="n"/>
      <c r="I52" s="6" t="n"/>
      <c r="J52" s="66" t="inlineStr">
        <is>
          <t>Đổi mật khẩu thất bại - mật khẩu mới không đáp ứng điều kiện</t>
        </is>
      </c>
      <c r="K52" s="5" t="n"/>
      <c r="L52" s="6" t="n"/>
      <c r="M52" s="66" t="inlineStr">
        <is>
          <t>Đã đăng nhập.</t>
        </is>
      </c>
      <c r="N52" s="5" t="n"/>
      <c r="O52" s="5" t="n"/>
      <c r="P52" s="5" t="n"/>
      <c r="Q52" s="6" t="n"/>
      <c r="R52" s="66" t="inlineStr">
        <is>
          <t>① Nhấn "パスワード変更"
② Nhập mật khẩu mới chỉ gồm chữ thường (không có chữ hoa, số và ký tự đặc biệt)
③ Nhấn "確認"</t>
        </is>
      </c>
      <c r="S52" s="5" t="n"/>
      <c r="T52" s="5" t="n"/>
      <c r="U52" s="5" t="n"/>
      <c r="V52" s="5" t="n"/>
      <c r="W52" s="5" t="n"/>
      <c r="X52" s="6" t="n"/>
      <c r="Y52" s="66" t="inlineStr">
        <is>
          <t>Lỗi validation hiển thị và mật khẩu không được cập nhật.</t>
        </is>
      </c>
      <c r="Z52" s="5" t="n"/>
      <c r="AA52" s="5" t="n"/>
      <c r="AB52" s="5" t="n"/>
      <c r="AC52" s="5" t="n"/>
      <c r="AD52" s="6" t="n"/>
      <c r="AE52" s="67" t="inlineStr">
        <is>
          <t>M</t>
        </is>
      </c>
      <c r="AF52" s="6" t="n"/>
      <c r="AG52" s="67" t="n"/>
      <c r="AH52" s="6" t="n"/>
      <c r="AI52" s="67" t="n"/>
      <c r="AJ52" s="6" t="n"/>
      <c r="AK52" s="67" t="n"/>
      <c r="AL52" s="6" t="n"/>
      <c r="AM52" s="67" t="n"/>
      <c r="AN52" s="5" t="n"/>
      <c r="AO52" s="6" t="n"/>
      <c r="AP52" s="67" t="n"/>
      <c r="AQ52" s="6" t="n"/>
      <c r="AR52" s="66" t="n"/>
      <c r="AS52" s="5" t="n"/>
      <c r="AT52" s="6" t="n"/>
      <c r="AU52" s="67" t="n"/>
      <c r="AV52" s="6" t="n"/>
      <c r="AW52" s="67" t="n"/>
      <c r="AX52" s="6" t="n"/>
      <c r="AY52" s="67" t="n"/>
      <c r="AZ52" s="6" t="n"/>
      <c r="BA52" s="67" t="n"/>
      <c r="BB52" s="5" t="n"/>
      <c r="BC52" s="6" t="n"/>
      <c r="BD52" s="67" t="n"/>
      <c r="BE52" s="6" t="n"/>
      <c r="BF52" s="66" t="n"/>
      <c r="BG52" s="5" t="n"/>
      <c r="BH52" s="6" t="n"/>
      <c r="BI52" s="68" t="n"/>
      <c r="BJ52" s="5" t="n"/>
      <c r="BK52" s="42" t="n"/>
    </row>
    <row r="53" ht="105" customHeight="1">
      <c r="A53" s="61" t="inlineStr">
        <is>
          <t>UAT-WEB-047</t>
        </is>
      </c>
      <c r="B53" s="6" t="n"/>
      <c r="C53" s="62" t="inlineStr">
        <is>
          <t>Quản trị viên tenant</t>
        </is>
      </c>
      <c r="D53" s="5" t="n"/>
      <c r="E53" s="5" t="n"/>
      <c r="F53" s="6" t="n"/>
      <c r="G53" s="62" t="inlineStr">
        <is>
          <t>Đăng nhập và bảo mật</t>
        </is>
      </c>
      <c r="H53" s="5" t="n"/>
      <c r="I53" s="6" t="n"/>
      <c r="J53" s="62" t="inlineStr">
        <is>
          <t>Khôi phục mật khẩu bằng OTP qua email</t>
        </is>
      </c>
      <c r="K53" s="5" t="n"/>
      <c r="L53" s="6" t="n"/>
      <c r="M53" s="62" t="inlineStr">
        <is>
          <t>Trong hệ thống có tài khoản.</t>
        </is>
      </c>
      <c r="N53" s="5" t="n"/>
      <c r="O53" s="5" t="n"/>
      <c r="P53" s="5" t="n"/>
      <c r="Q53" s="6" t="n"/>
      <c r="R53" s="62" t="inlineStr">
        <is>
          <t>① Nhấn "パスワードをお忘れの方"
② Nhập email đã đăng ký
③ Nhấn "送信"
④ Nhập mật khẩu mới
⑤ Nhấn "コード送信"
⑥ Nhập OTP nhận được qua email và nhấn "確認"</t>
        </is>
      </c>
      <c r="S53" s="5" t="n"/>
      <c r="T53" s="5" t="n"/>
      <c r="U53" s="5" t="n"/>
      <c r="V53" s="5" t="n"/>
      <c r="W53" s="5" t="n"/>
      <c r="X53" s="6" t="n"/>
      <c r="Y53" s="62" t="inlineStr">
        <is>
          <t>Mật khẩu được đặt lại thành công và có thể đăng nhập bằng mật khẩu mới.</t>
        </is>
      </c>
      <c r="Z53" s="5" t="n"/>
      <c r="AA53" s="5" t="n"/>
      <c r="AB53" s="5" t="n"/>
      <c r="AC53" s="5" t="n"/>
      <c r="AD53" s="6" t="n"/>
      <c r="AE53" s="63" t="inlineStr">
        <is>
          <t>H</t>
        </is>
      </c>
      <c r="AF53" s="6" t="n"/>
      <c r="AG53" s="63" t="n"/>
      <c r="AH53" s="6" t="n"/>
      <c r="AI53" s="63" t="n"/>
      <c r="AJ53" s="6" t="n"/>
      <c r="AK53" s="63" t="n"/>
      <c r="AL53" s="6" t="n"/>
      <c r="AM53" s="63" t="n"/>
      <c r="AN53" s="5" t="n"/>
      <c r="AO53" s="6" t="n"/>
      <c r="AP53" s="63" t="n"/>
      <c r="AQ53" s="6" t="n"/>
      <c r="AR53" s="62" t="n"/>
      <c r="AS53" s="5" t="n"/>
      <c r="AT53" s="6" t="n"/>
      <c r="AU53" s="63" t="n"/>
      <c r="AV53" s="6" t="n"/>
      <c r="AW53" s="63" t="n"/>
      <c r="AX53" s="6" t="n"/>
      <c r="AY53" s="63" t="n"/>
      <c r="AZ53" s="6" t="n"/>
      <c r="BA53" s="63" t="n"/>
      <c r="BB53" s="5" t="n"/>
      <c r="BC53" s="6" t="n"/>
      <c r="BD53" s="63" t="n"/>
      <c r="BE53" s="6" t="n"/>
      <c r="BF53" s="62" t="n"/>
      <c r="BG53" s="5" t="n"/>
      <c r="BH53" s="6" t="n"/>
      <c r="BI53" s="64" t="n"/>
      <c r="BJ53" s="5" t="n"/>
      <c r="BK53" s="42" t="n"/>
    </row>
    <row r="54" ht="75" customHeight="1">
      <c r="A54" s="65" t="inlineStr">
        <is>
          <t>UAT-WEB-048</t>
        </is>
      </c>
      <c r="B54" s="6" t="n"/>
      <c r="C54" s="66" t="inlineStr">
        <is>
          <t>Quản trị viên tenant</t>
        </is>
      </c>
      <c r="D54" s="5" t="n"/>
      <c r="E54" s="5" t="n"/>
      <c r="F54" s="6" t="n"/>
      <c r="G54" s="66" t="inlineStr">
        <is>
          <t>Đăng nhập và bảo mật</t>
        </is>
      </c>
      <c r="H54" s="5" t="n"/>
      <c r="I54" s="6" t="n"/>
      <c r="J54" s="66" t="inlineStr">
        <is>
          <t>Đăng nhập thất bại 5 lần liên tiếp</t>
        </is>
      </c>
      <c r="K54" s="5" t="n"/>
      <c r="L54" s="6" t="n"/>
      <c r="M54" s="66" t="inlineStr">
        <is>
          <t>Trong hệ thống có tài khoản hợp lệ.</t>
        </is>
      </c>
      <c r="N54" s="5" t="n"/>
      <c r="O54" s="5" t="n"/>
      <c r="P54" s="5" t="n"/>
      <c r="Q54" s="6" t="n"/>
      <c r="R54" s="66" t="inlineStr">
        <is>
          <t>① Nhập email đúng và mật khẩu sai
② Thực hiện 5 lần liên tiếp
③ Nhấn "ログイン"</t>
        </is>
      </c>
      <c r="S54" s="5" t="n"/>
      <c r="T54" s="5" t="n"/>
      <c r="U54" s="5" t="n"/>
      <c r="V54" s="5" t="n"/>
      <c r="W54" s="5" t="n"/>
      <c r="X54" s="6" t="n"/>
      <c r="Y54" s="66" t="inlineStr">
        <is>
          <t>Nếu nhập sai 5 lần liên tiếp, tài khoản bị khóa.
Có thể đặt lại mật khẩu bằng chức năng đặt lại mật khẩu.</t>
        </is>
      </c>
      <c r="Z54" s="5" t="n"/>
      <c r="AA54" s="5" t="n"/>
      <c r="AB54" s="5" t="n"/>
      <c r="AC54" s="5" t="n"/>
      <c r="AD54" s="6" t="n"/>
      <c r="AE54" s="67" t="inlineStr">
        <is>
          <t>M</t>
        </is>
      </c>
      <c r="AF54" s="6" t="n"/>
      <c r="AG54" s="67" t="n"/>
      <c r="AH54" s="6" t="n"/>
      <c r="AI54" s="67" t="n"/>
      <c r="AJ54" s="6" t="n"/>
      <c r="AK54" s="67" t="n"/>
      <c r="AL54" s="6" t="n"/>
      <c r="AM54" s="67" t="n"/>
      <c r="AN54" s="5" t="n"/>
      <c r="AO54" s="6" t="n"/>
      <c r="AP54" s="67" t="n"/>
      <c r="AQ54" s="6" t="n"/>
      <c r="AR54" s="66" t="n"/>
      <c r="AS54" s="5" t="n"/>
      <c r="AT54" s="6" t="n"/>
      <c r="AU54" s="67" t="n"/>
      <c r="AV54" s="6" t="n"/>
      <c r="AW54" s="67" t="n"/>
      <c r="AX54" s="6" t="n"/>
      <c r="AY54" s="67" t="n"/>
      <c r="AZ54" s="6" t="n"/>
      <c r="BA54" s="67" t="n"/>
      <c r="BB54" s="5" t="n"/>
      <c r="BC54" s="6" t="n"/>
      <c r="BD54" s="67" t="n"/>
      <c r="BE54" s="6" t="n"/>
      <c r="BF54" s="66" t="n"/>
      <c r="BG54" s="5" t="n"/>
      <c r="BH54" s="6" t="n"/>
      <c r="BI54" s="68" t="n"/>
      <c r="BJ54" s="5" t="n"/>
      <c r="BK54" s="42" t="n"/>
    </row>
    <row r="55" ht="60" customHeight="1">
      <c r="A55" s="61" t="inlineStr">
        <is>
          <t>UAT-WEB-049</t>
        </is>
      </c>
      <c r="B55" s="6" t="n"/>
      <c r="C55" s="62" t="inlineStr">
        <is>
          <t>Quản trị viên tenant</t>
        </is>
      </c>
      <c r="D55" s="5" t="n"/>
      <c r="E55" s="5" t="n"/>
      <c r="F55" s="6" t="n"/>
      <c r="G55" s="62" t="inlineStr">
        <is>
          <t>Đăng nhập và bảo mật</t>
        </is>
      </c>
      <c r="H55" s="5" t="n"/>
      <c r="I55" s="6" t="n"/>
      <c r="J55" s="62" t="inlineStr">
        <is>
          <t>Nhập sai mã OTP 5 lần liên tiếp</t>
        </is>
      </c>
      <c r="K55" s="5" t="n"/>
      <c r="L55" s="6" t="n"/>
      <c r="M55" s="62" t="inlineStr">
        <is>
          <t>Trong hệ thống có tài khoản hợp lệ.</t>
        </is>
      </c>
      <c r="N55" s="5" t="n"/>
      <c r="O55" s="5" t="n"/>
      <c r="P55" s="5" t="n"/>
      <c r="Q55" s="6" t="n"/>
      <c r="R55" s="62" t="inlineStr">
        <is>
          <t>① Nhập email và mật khẩu hợp lệ
② Nhấn nút "ログイン"
③ Nhập sai mã OTP 5 lần liên tiếp</t>
        </is>
      </c>
      <c r="S55" s="5" t="n"/>
      <c r="T55" s="5" t="n"/>
      <c r="U55" s="5" t="n"/>
      <c r="V55" s="5" t="n"/>
      <c r="W55" s="5" t="n"/>
      <c r="X55" s="6" t="n"/>
      <c r="Y55" s="62" t="inlineStr">
        <is>
          <t>Hiển thị lỗi: "認証ワンタイムパスワードが正しくありません。"
Không thể đăng nhập vào hệ thống.</t>
        </is>
      </c>
      <c r="Z55" s="5" t="n"/>
      <c r="AA55" s="5" t="n"/>
      <c r="AB55" s="5" t="n"/>
      <c r="AC55" s="5" t="n"/>
      <c r="AD55" s="6" t="n"/>
      <c r="AE55" s="63" t="inlineStr">
        <is>
          <t>M</t>
        </is>
      </c>
      <c r="AF55" s="6" t="n"/>
      <c r="AG55" s="63" t="n"/>
      <c r="AH55" s="6" t="n"/>
      <c r="AI55" s="63" t="n"/>
      <c r="AJ55" s="6" t="n"/>
      <c r="AK55" s="63" t="n"/>
      <c r="AL55" s="6" t="n"/>
      <c r="AM55" s="63" t="n"/>
      <c r="AN55" s="5" t="n"/>
      <c r="AO55" s="6" t="n"/>
      <c r="AP55" s="63" t="n"/>
      <c r="AQ55" s="6" t="n"/>
      <c r="AR55" s="62" t="n"/>
      <c r="AS55" s="5" t="n"/>
      <c r="AT55" s="6" t="n"/>
      <c r="AU55" s="63" t="n"/>
      <c r="AV55" s="6" t="n"/>
      <c r="AW55" s="63" t="n"/>
      <c r="AX55" s="6" t="n"/>
      <c r="AY55" s="63" t="n"/>
      <c r="AZ55" s="6" t="n"/>
      <c r="BA55" s="63" t="n"/>
      <c r="BB55" s="5" t="n"/>
      <c r="BC55" s="6" t="n"/>
      <c r="BD55" s="63" t="n"/>
      <c r="BE55" s="6" t="n"/>
      <c r="BF55" s="62" t="n"/>
      <c r="BG55" s="5" t="n"/>
      <c r="BH55" s="6" t="n"/>
      <c r="BI55" s="64" t="n"/>
      <c r="BJ55" s="5" t="n"/>
      <c r="BK55" s="42" t="n"/>
    </row>
    <row r="56" ht="60" customHeight="1">
      <c r="A56" s="65" t="inlineStr">
        <is>
          <t>UAT-WEB-050</t>
        </is>
      </c>
      <c r="B56" s="6" t="n"/>
      <c r="C56" s="66" t="inlineStr">
        <is>
          <t>Quản trị viên tenant</t>
        </is>
      </c>
      <c r="D56" s="5" t="n"/>
      <c r="E56" s="5" t="n"/>
      <c r="F56" s="6" t="n"/>
      <c r="G56" s="66" t="inlineStr">
        <is>
          <t>Quản lý người dùng</t>
        </is>
      </c>
      <c r="H56" s="5" t="n"/>
      <c r="I56" s="6" t="n"/>
      <c r="J56" s="66" t="inlineStr">
        <is>
          <t>Hiển thị danh sách người dùng sau khi đăng nhập</t>
        </is>
      </c>
      <c r="K56" s="5" t="n"/>
      <c r="L56" s="6" t="n"/>
      <c r="M56" s="66" t="inlineStr">
        <is>
          <t>Quản trị viên tenant đăng nhập thành công.</t>
        </is>
      </c>
      <c r="N56" s="5" t="n"/>
      <c r="O56" s="5" t="n"/>
      <c r="P56" s="5" t="n"/>
      <c r="Q56" s="6" t="n"/>
      <c r="R56" s="66" t="inlineStr">
        <is>
          <t>① Sau khi đăng nhập thành công</t>
        </is>
      </c>
      <c r="S56" s="5" t="n"/>
      <c r="T56" s="5" t="n"/>
      <c r="U56" s="5" t="n"/>
      <c r="V56" s="5" t="n"/>
      <c r="W56" s="5" t="n"/>
      <c r="X56" s="6" t="n"/>
      <c r="Y56" s="66" t="inlineStr">
        <is>
          <t>Tự động chuyển đến màn hình danh sách người dùng và danh sách người dùng của tenant hiện tại hiển thị đúng.</t>
        </is>
      </c>
      <c r="Z56" s="5" t="n"/>
      <c r="AA56" s="5" t="n"/>
      <c r="AB56" s="5" t="n"/>
      <c r="AC56" s="5" t="n"/>
      <c r="AD56" s="6" t="n"/>
      <c r="AE56" s="67" t="inlineStr">
        <is>
          <t>M</t>
        </is>
      </c>
      <c r="AF56" s="6" t="n"/>
      <c r="AG56" s="67" t="n"/>
      <c r="AH56" s="6" t="n"/>
      <c r="AI56" s="67" t="n"/>
      <c r="AJ56" s="6" t="n"/>
      <c r="AK56" s="67" t="n"/>
      <c r="AL56" s="6" t="n"/>
      <c r="AM56" s="67" t="n"/>
      <c r="AN56" s="5" t="n"/>
      <c r="AO56" s="6" t="n"/>
      <c r="AP56" s="67" t="n"/>
      <c r="AQ56" s="6" t="n"/>
      <c r="AR56" s="66" t="n"/>
      <c r="AS56" s="5" t="n"/>
      <c r="AT56" s="6" t="n"/>
      <c r="AU56" s="67" t="n"/>
      <c r="AV56" s="6" t="n"/>
      <c r="AW56" s="67" t="n"/>
      <c r="AX56" s="6" t="n"/>
      <c r="AY56" s="67" t="n"/>
      <c r="AZ56" s="6" t="n"/>
      <c r="BA56" s="67" t="n"/>
      <c r="BB56" s="5" t="n"/>
      <c r="BC56" s="6" t="n"/>
      <c r="BD56" s="67" t="n"/>
      <c r="BE56" s="6" t="n"/>
      <c r="BF56" s="66" t="n"/>
      <c r="BG56" s="5" t="n"/>
      <c r="BH56" s="6" t="n"/>
      <c r="BI56" s="68" t="n"/>
      <c r="BJ56" s="5" t="n"/>
      <c r="BK56" s="42" t="n"/>
    </row>
    <row r="57" ht="60" customHeight="1">
      <c r="A57" s="61" t="inlineStr">
        <is>
          <t>UAT-WEB-051</t>
        </is>
      </c>
      <c r="B57" s="6" t="n"/>
      <c r="C57" s="62" t="inlineStr">
        <is>
          <t>Quản trị viên tenant</t>
        </is>
      </c>
      <c r="D57" s="5" t="n"/>
      <c r="E57" s="5" t="n"/>
      <c r="F57" s="6" t="n"/>
      <c r="G57" s="62" t="inlineStr">
        <is>
          <t>Quản lý người dùng</t>
        </is>
      </c>
      <c r="H57" s="5" t="n"/>
      <c r="I57" s="6" t="n"/>
      <c r="J57" s="62" t="inlineStr">
        <is>
          <t>Tìm kiếm người dùng theo email</t>
        </is>
      </c>
      <c r="K57" s="5" t="n"/>
      <c r="L57" s="6" t="n"/>
      <c r="M57" s="62" t="inlineStr">
        <is>
          <t>Trong tenant có ít nhất 2 người dùng.</t>
        </is>
      </c>
      <c r="N57" s="5" t="n"/>
      <c r="O57" s="5" t="n"/>
      <c r="P57" s="5" t="n"/>
      <c r="Q57" s="6" t="n"/>
      <c r="R57" s="62" t="inlineStr">
        <is>
          <t>① Nhập một phần email vào ô tìm kiếm
② Nhấn "検索"</t>
        </is>
      </c>
      <c r="S57" s="5" t="n"/>
      <c r="T57" s="5" t="n"/>
      <c r="U57" s="5" t="n"/>
      <c r="V57" s="5" t="n"/>
      <c r="W57" s="5" t="n"/>
      <c r="X57" s="6" t="n"/>
      <c r="Y57" s="62" t="inlineStr">
        <is>
          <t>Chỉ người dùng có email khớp được hiển thị trong danh sách, các người dùng khác bị loại khỏi kết quả.</t>
        </is>
      </c>
      <c r="Z57" s="5" t="n"/>
      <c r="AA57" s="5" t="n"/>
      <c r="AB57" s="5" t="n"/>
      <c r="AC57" s="5" t="n"/>
      <c r="AD57" s="6" t="n"/>
      <c r="AE57" s="63" t="inlineStr">
        <is>
          <t>M</t>
        </is>
      </c>
      <c r="AF57" s="6" t="n"/>
      <c r="AG57" s="63" t="n"/>
      <c r="AH57" s="6" t="n"/>
      <c r="AI57" s="63" t="n"/>
      <c r="AJ57" s="6" t="n"/>
      <c r="AK57" s="63" t="n"/>
      <c r="AL57" s="6" t="n"/>
      <c r="AM57" s="63" t="n"/>
      <c r="AN57" s="5" t="n"/>
      <c r="AO57" s="6" t="n"/>
      <c r="AP57" s="63" t="n"/>
      <c r="AQ57" s="6" t="n"/>
      <c r="AR57" s="62" t="n"/>
      <c r="AS57" s="5" t="n"/>
      <c r="AT57" s="6" t="n"/>
      <c r="AU57" s="63" t="n"/>
      <c r="AV57" s="6" t="n"/>
      <c r="AW57" s="63" t="n"/>
      <c r="AX57" s="6" t="n"/>
      <c r="AY57" s="63" t="n"/>
      <c r="AZ57" s="6" t="n"/>
      <c r="BA57" s="63" t="n"/>
      <c r="BB57" s="5" t="n"/>
      <c r="BC57" s="6" t="n"/>
      <c r="BD57" s="63" t="n"/>
      <c r="BE57" s="6" t="n"/>
      <c r="BF57" s="62" t="n"/>
      <c r="BG57" s="5" t="n"/>
      <c r="BH57" s="6" t="n"/>
      <c r="BI57" s="64" t="n"/>
      <c r="BJ57" s="5" t="n"/>
      <c r="BK57" s="42" t="n"/>
    </row>
    <row r="58" ht="45" customHeight="1">
      <c r="A58" s="65" t="inlineStr">
        <is>
          <t>UAT-WEB-052</t>
        </is>
      </c>
      <c r="B58" s="6" t="n"/>
      <c r="C58" s="66" t="inlineStr">
        <is>
          <t>Quản trị viên tenant</t>
        </is>
      </c>
      <c r="D58" s="5" t="n"/>
      <c r="E58" s="5" t="n"/>
      <c r="F58" s="6" t="n"/>
      <c r="G58" s="66" t="inlineStr">
        <is>
          <t>Quản lý người dùng</t>
        </is>
      </c>
      <c r="H58" s="5" t="n"/>
      <c r="I58" s="6" t="n"/>
      <c r="J58" s="66" t="inlineStr">
        <is>
          <t>Tìm kiếm người dùng theo họ tên</t>
        </is>
      </c>
      <c r="K58" s="5" t="n"/>
      <c r="L58" s="6" t="n"/>
      <c r="M58" s="66" t="inlineStr">
        <is>
          <t>Có ít nhất 2 người dùng có tên khác nhau.</t>
        </is>
      </c>
      <c r="N58" s="5" t="n"/>
      <c r="O58" s="5" t="n"/>
      <c r="P58" s="5" t="n"/>
      <c r="Q58" s="6" t="n"/>
      <c r="R58" s="66" t="inlineStr">
        <is>
          <t>① Nhập họ tên vào ô họ tên
② Nhấn "検索"</t>
        </is>
      </c>
      <c r="S58" s="5" t="n"/>
      <c r="T58" s="5" t="n"/>
      <c r="U58" s="5" t="n"/>
      <c r="V58" s="5" t="n"/>
      <c r="W58" s="5" t="n"/>
      <c r="X58" s="6" t="n"/>
      <c r="Y58" s="66" t="inlineStr">
        <is>
          <t>Kết quả lọc đúng theo tên được hiển thị, có phân biệt chữ hoa chữ thường.</t>
        </is>
      </c>
      <c r="Z58" s="5" t="n"/>
      <c r="AA58" s="5" t="n"/>
      <c r="AB58" s="5" t="n"/>
      <c r="AC58" s="5" t="n"/>
      <c r="AD58" s="6" t="n"/>
      <c r="AE58" s="67" t="inlineStr">
        <is>
          <t>M</t>
        </is>
      </c>
      <c r="AF58" s="6" t="n"/>
      <c r="AG58" s="67" t="n"/>
      <c r="AH58" s="6" t="n"/>
      <c r="AI58" s="67" t="n"/>
      <c r="AJ58" s="6" t="n"/>
      <c r="AK58" s="67" t="n"/>
      <c r="AL58" s="6" t="n"/>
      <c r="AM58" s="67" t="n"/>
      <c r="AN58" s="5" t="n"/>
      <c r="AO58" s="6" t="n"/>
      <c r="AP58" s="67" t="n"/>
      <c r="AQ58" s="6" t="n"/>
      <c r="AR58" s="66" t="n"/>
      <c r="AS58" s="5" t="n"/>
      <c r="AT58" s="6" t="n"/>
      <c r="AU58" s="67" t="n"/>
      <c r="AV58" s="6" t="n"/>
      <c r="AW58" s="67" t="n"/>
      <c r="AX58" s="6" t="n"/>
      <c r="AY58" s="67" t="n"/>
      <c r="AZ58" s="6" t="n"/>
      <c r="BA58" s="67" t="n"/>
      <c r="BB58" s="5" t="n"/>
      <c r="BC58" s="6" t="n"/>
      <c r="BD58" s="67" t="n"/>
      <c r="BE58" s="6" t="n"/>
      <c r="BF58" s="66" t="n"/>
      <c r="BG58" s="5" t="n"/>
      <c r="BH58" s="6" t="n"/>
      <c r="BI58" s="68" t="n"/>
      <c r="BJ58" s="5" t="n"/>
      <c r="BK58" s="42" t="n"/>
    </row>
    <row r="59" ht="45" customHeight="1">
      <c r="A59" s="61" t="inlineStr">
        <is>
          <t>UAT-WEB-053</t>
        </is>
      </c>
      <c r="B59" s="6" t="n"/>
      <c r="C59" s="62" t="inlineStr">
        <is>
          <t>Quản trị viên tenant</t>
        </is>
      </c>
      <c r="D59" s="5" t="n"/>
      <c r="E59" s="5" t="n"/>
      <c r="F59" s="6" t="n"/>
      <c r="G59" s="62" t="inlineStr">
        <is>
          <t>Quản lý người dùng</t>
        </is>
      </c>
      <c r="H59" s="5" t="n"/>
      <c r="I59" s="6" t="n"/>
      <c r="J59" s="62" t="inlineStr">
        <is>
          <t>Lọc người dùng theo trạng thái "利用中"</t>
        </is>
      </c>
      <c r="K59" s="5" t="n"/>
      <c r="L59" s="6" t="n"/>
      <c r="M59" s="62" t="inlineStr">
        <is>
          <t>Có người dùng ở nhiều trạng thái.</t>
        </is>
      </c>
      <c r="N59" s="5" t="n"/>
      <c r="O59" s="5" t="n"/>
      <c r="P59" s="5" t="n"/>
      <c r="Q59" s="6" t="n"/>
      <c r="R59" s="62" t="inlineStr">
        <is>
          <t>① Chọn trạng thái "利用中" trong dropdown
② Nhấn "検索"</t>
        </is>
      </c>
      <c r="S59" s="5" t="n"/>
      <c r="T59" s="5" t="n"/>
      <c r="U59" s="5" t="n"/>
      <c r="V59" s="5" t="n"/>
      <c r="W59" s="5" t="n"/>
      <c r="X59" s="6" t="n"/>
      <c r="Y59" s="62" t="inlineStr">
        <is>
          <t>Chỉ người dùng ở trạng thái "利用中" được hiển thị.</t>
        </is>
      </c>
      <c r="Z59" s="5" t="n"/>
      <c r="AA59" s="5" t="n"/>
      <c r="AB59" s="5" t="n"/>
      <c r="AC59" s="5" t="n"/>
      <c r="AD59" s="6" t="n"/>
      <c r="AE59" s="63" t="inlineStr">
        <is>
          <t>M</t>
        </is>
      </c>
      <c r="AF59" s="6" t="n"/>
      <c r="AG59" s="63" t="n"/>
      <c r="AH59" s="6" t="n"/>
      <c r="AI59" s="63" t="n"/>
      <c r="AJ59" s="6" t="n"/>
      <c r="AK59" s="63" t="n"/>
      <c r="AL59" s="6" t="n"/>
      <c r="AM59" s="63" t="n"/>
      <c r="AN59" s="5" t="n"/>
      <c r="AO59" s="6" t="n"/>
      <c r="AP59" s="63" t="n"/>
      <c r="AQ59" s="6" t="n"/>
      <c r="AR59" s="62" t="n"/>
      <c r="AS59" s="5" t="n"/>
      <c r="AT59" s="6" t="n"/>
      <c r="AU59" s="63" t="n"/>
      <c r="AV59" s="6" t="n"/>
      <c r="AW59" s="63" t="n"/>
      <c r="AX59" s="6" t="n"/>
      <c r="AY59" s="63" t="n"/>
      <c r="AZ59" s="6" t="n"/>
      <c r="BA59" s="63" t="n"/>
      <c r="BB59" s="5" t="n"/>
      <c r="BC59" s="6" t="n"/>
      <c r="BD59" s="63" t="n"/>
      <c r="BE59" s="6" t="n"/>
      <c r="BF59" s="62" t="n"/>
      <c r="BG59" s="5" t="n"/>
      <c r="BH59" s="6" t="n"/>
      <c r="BI59" s="64" t="n"/>
      <c r="BJ59" s="5" t="n"/>
      <c r="BK59" s="42" t="n"/>
    </row>
    <row r="60" ht="90" customHeight="1">
      <c r="A60" s="65" t="inlineStr">
        <is>
          <t>UAT-WEB-054</t>
        </is>
      </c>
      <c r="B60" s="6" t="n"/>
      <c r="C60" s="66" t="inlineStr">
        <is>
          <t>Quản trị viên tenant</t>
        </is>
      </c>
      <c r="D60" s="5" t="n"/>
      <c r="E60" s="5" t="n"/>
      <c r="F60" s="6" t="n"/>
      <c r="G60" s="66" t="inlineStr">
        <is>
          <t>Quản lý người dùng</t>
        </is>
      </c>
      <c r="H60" s="5" t="n"/>
      <c r="I60" s="6" t="n"/>
      <c r="J60" s="66" t="inlineStr">
        <is>
          <t>Thêm người dùng mới thành công (MVE API thành công)</t>
        </is>
      </c>
      <c r="K60" s="5" t="n"/>
      <c r="L60" s="6" t="n"/>
      <c r="M60" s="66" t="inlineStr">
        <is>
          <t>MVE còn license khả dụng.</t>
        </is>
      </c>
      <c r="N60" s="5" t="n"/>
      <c r="O60" s="5" t="n"/>
      <c r="P60" s="5" t="n"/>
      <c r="Q60" s="6" t="n"/>
      <c r="R60" s="66" t="inlineStr">
        <is>
          <t>① Nhấn "ユーザー追加"
② Nhập email chưa đăng ký, họ, tên, họ kana, tên kana và số máy nhánh SIP hợp lệ
③ Nhấn "保存" -&gt; "OK"</t>
        </is>
      </c>
      <c r="S60" s="5" t="n"/>
      <c r="T60" s="5" t="n"/>
      <c r="U60" s="5" t="n"/>
      <c r="V60" s="5" t="n"/>
      <c r="W60" s="5" t="n"/>
      <c r="X60" s="6" t="n"/>
      <c r="Y60" s="66" t="inlineStr">
        <is>
          <t>Nếu MVE API trả về OK, người dùng được tạo ở trạng thái "登録済み".
Nếu API lỗi, người dùng được tạo ở trạng thái "登録待ち".</t>
        </is>
      </c>
      <c r="Z60" s="5" t="n"/>
      <c r="AA60" s="5" t="n"/>
      <c r="AB60" s="5" t="n"/>
      <c r="AC60" s="5" t="n"/>
      <c r="AD60" s="6" t="n"/>
      <c r="AE60" s="67" t="inlineStr">
        <is>
          <t>H</t>
        </is>
      </c>
      <c r="AF60" s="6" t="n"/>
      <c r="AG60" s="67" t="n"/>
      <c r="AH60" s="6" t="n"/>
      <c r="AI60" s="67" t="n"/>
      <c r="AJ60" s="6" t="n"/>
      <c r="AK60" s="67" t="n"/>
      <c r="AL60" s="6" t="n"/>
      <c r="AM60" s="67" t="n"/>
      <c r="AN60" s="5" t="n"/>
      <c r="AO60" s="6" t="n"/>
      <c r="AP60" s="67" t="n"/>
      <c r="AQ60" s="6" t="n"/>
      <c r="AR60" s="66" t="n"/>
      <c r="AS60" s="5" t="n"/>
      <c r="AT60" s="6" t="n"/>
      <c r="AU60" s="67" t="n"/>
      <c r="AV60" s="6" t="n"/>
      <c r="AW60" s="67" t="n"/>
      <c r="AX60" s="6" t="n"/>
      <c r="AY60" s="67" t="n"/>
      <c r="AZ60" s="6" t="n"/>
      <c r="BA60" s="67" t="n"/>
      <c r="BB60" s="5" t="n"/>
      <c r="BC60" s="6" t="n"/>
      <c r="BD60" s="67" t="n"/>
      <c r="BE60" s="6" t="n"/>
      <c r="BF60" s="66" t="n"/>
      <c r="BG60" s="5" t="n"/>
      <c r="BH60" s="6" t="n"/>
      <c r="BI60" s="68" t="n"/>
      <c r="BJ60" s="5" t="n"/>
      <c r="BK60" s="42" t="n"/>
    </row>
    <row r="61" ht="60" customHeight="1">
      <c r="A61" s="61" t="inlineStr">
        <is>
          <t>UAT-WEB-055</t>
        </is>
      </c>
      <c r="B61" s="6" t="n"/>
      <c r="C61" s="62" t="inlineStr">
        <is>
          <t>Quản trị viên tenant</t>
        </is>
      </c>
      <c r="D61" s="5" t="n"/>
      <c r="E61" s="5" t="n"/>
      <c r="F61" s="6" t="n"/>
      <c r="G61" s="62" t="inlineStr">
        <is>
          <t>Quản lý người dùng</t>
        </is>
      </c>
      <c r="H61" s="5" t="n"/>
      <c r="I61" s="6" t="n"/>
      <c r="J61" s="62" t="inlineStr">
        <is>
          <t>Thêm người dùng thất bại - email đã tồn tại trong hệ thống</t>
        </is>
      </c>
      <c r="K61" s="5" t="n"/>
      <c r="L61" s="6" t="n"/>
      <c r="M61" s="62" t="inlineStr">
        <is>
          <t>Email muốn sử dụng đã được người dùng khác sử dụng trong toàn hệ thống.</t>
        </is>
      </c>
      <c r="N61" s="5" t="n"/>
      <c r="O61" s="5" t="n"/>
      <c r="P61" s="5" t="n"/>
      <c r="Q61" s="6" t="n"/>
      <c r="R61" s="62" t="inlineStr">
        <is>
          <t>① Nhấn "ユーザー追加"
② Nhập email đã tồn tại
③ Nhấn "保存"</t>
        </is>
      </c>
      <c r="S61" s="5" t="n"/>
      <c r="T61" s="5" t="n"/>
      <c r="U61" s="5" t="n"/>
      <c r="V61" s="5" t="n"/>
      <c r="W61" s="5" t="n"/>
      <c r="X61" s="6" t="n"/>
      <c r="Y61" s="62" t="inlineStr">
        <is>
          <t>Lỗi trùng email hiển thị và người dùng không được tạo.</t>
        </is>
      </c>
      <c r="Z61" s="5" t="n"/>
      <c r="AA61" s="5" t="n"/>
      <c r="AB61" s="5" t="n"/>
      <c r="AC61" s="5" t="n"/>
      <c r="AD61" s="6" t="n"/>
      <c r="AE61" s="63" t="inlineStr">
        <is>
          <t>H</t>
        </is>
      </c>
      <c r="AF61" s="6" t="n"/>
      <c r="AG61" s="63" t="n"/>
      <c r="AH61" s="6" t="n"/>
      <c r="AI61" s="63" t="n"/>
      <c r="AJ61" s="6" t="n"/>
      <c r="AK61" s="63" t="n"/>
      <c r="AL61" s="6" t="n"/>
      <c r="AM61" s="63" t="n"/>
      <c r="AN61" s="5" t="n"/>
      <c r="AO61" s="6" t="n"/>
      <c r="AP61" s="63" t="n"/>
      <c r="AQ61" s="6" t="n"/>
      <c r="AR61" s="62" t="n"/>
      <c r="AS61" s="5" t="n"/>
      <c r="AT61" s="6" t="n"/>
      <c r="AU61" s="63" t="n"/>
      <c r="AV61" s="6" t="n"/>
      <c r="AW61" s="63" t="n"/>
      <c r="AX61" s="6" t="n"/>
      <c r="AY61" s="63" t="n"/>
      <c r="AZ61" s="6" t="n"/>
      <c r="BA61" s="63" t="n"/>
      <c r="BB61" s="5" t="n"/>
      <c r="BC61" s="6" t="n"/>
      <c r="BD61" s="63" t="n"/>
      <c r="BE61" s="6" t="n"/>
      <c r="BF61" s="62" t="n"/>
      <c r="BG61" s="5" t="n"/>
      <c r="BH61" s="6" t="n"/>
      <c r="BI61" s="64" t="n"/>
      <c r="BJ61" s="5" t="n"/>
      <c r="BK61" s="42" t="n"/>
    </row>
    <row r="62" ht="45" customHeight="1">
      <c r="A62" s="65" t="inlineStr">
        <is>
          <t>UAT-WEB-056</t>
        </is>
      </c>
      <c r="B62" s="6" t="n"/>
      <c r="C62" s="66" t="inlineStr">
        <is>
          <t>Quản trị viên tenant</t>
        </is>
      </c>
      <c r="D62" s="5" t="n"/>
      <c r="E62" s="5" t="n"/>
      <c r="F62" s="6" t="n"/>
      <c r="G62" s="66" t="inlineStr">
        <is>
          <t>Quản lý người dùng</t>
        </is>
      </c>
      <c r="H62" s="5" t="n"/>
      <c r="I62" s="6" t="n"/>
      <c r="J62" s="66" t="inlineStr">
        <is>
          <t>Thêm người dùng thất bại - số SIP đã được sử dụng trong tenant</t>
        </is>
      </c>
      <c r="K62" s="5" t="n"/>
      <c r="L62" s="6" t="n"/>
      <c r="M62" s="66" t="inlineStr">
        <is>
          <t>Số SIP muốn nhập đã được người dùng khác trong cùng tenant sử dụng.</t>
        </is>
      </c>
      <c r="N62" s="5" t="n"/>
      <c r="O62" s="5" t="n"/>
      <c r="P62" s="5" t="n"/>
      <c r="Q62" s="6" t="n"/>
      <c r="R62" s="66" t="inlineStr">
        <is>
          <t>① Nhập số SIP đã tồn tại trong tenant
② Nhấn "保存"</t>
        </is>
      </c>
      <c r="S62" s="5" t="n"/>
      <c r="T62" s="5" t="n"/>
      <c r="U62" s="5" t="n"/>
      <c r="V62" s="5" t="n"/>
      <c r="W62" s="5" t="n"/>
      <c r="X62" s="6" t="n"/>
      <c r="Y62" s="66" t="inlineStr">
        <is>
          <t>Lỗi trùng SIP trong tenant hiển thị và người dùng không được tạo.</t>
        </is>
      </c>
      <c r="Z62" s="5" t="n"/>
      <c r="AA62" s="5" t="n"/>
      <c r="AB62" s="5" t="n"/>
      <c r="AC62" s="5" t="n"/>
      <c r="AD62" s="6" t="n"/>
      <c r="AE62" s="67" t="inlineStr">
        <is>
          <t>H</t>
        </is>
      </c>
      <c r="AF62" s="6" t="n"/>
      <c r="AG62" s="67" t="n"/>
      <c r="AH62" s="6" t="n"/>
      <c r="AI62" s="67" t="n"/>
      <c r="AJ62" s="6" t="n"/>
      <c r="AK62" s="67" t="n"/>
      <c r="AL62" s="6" t="n"/>
      <c r="AM62" s="67" t="n"/>
      <c r="AN62" s="5" t="n"/>
      <c r="AO62" s="6" t="n"/>
      <c r="AP62" s="67" t="n"/>
      <c r="AQ62" s="6" t="n"/>
      <c r="AR62" s="66" t="n"/>
      <c r="AS62" s="5" t="n"/>
      <c r="AT62" s="6" t="n"/>
      <c r="AU62" s="67" t="n"/>
      <c r="AV62" s="6" t="n"/>
      <c r="AW62" s="67" t="n"/>
      <c r="AX62" s="6" t="n"/>
      <c r="AY62" s="67" t="n"/>
      <c r="AZ62" s="6" t="n"/>
      <c r="BA62" s="67" t="n"/>
      <c r="BB62" s="5" t="n"/>
      <c r="BC62" s="6" t="n"/>
      <c r="BD62" s="67" t="n"/>
      <c r="BE62" s="6" t="n"/>
      <c r="BF62" s="66" t="n"/>
      <c r="BG62" s="5" t="n"/>
      <c r="BH62" s="6" t="n"/>
      <c r="BI62" s="68" t="n"/>
      <c r="BJ62" s="5" t="n"/>
      <c r="BK62" s="42" t="n"/>
    </row>
    <row r="63" ht="45" customHeight="1">
      <c r="A63" s="61" t="inlineStr">
        <is>
          <t>UAT-WEB-057</t>
        </is>
      </c>
      <c r="B63" s="6" t="n"/>
      <c r="C63" s="62" t="inlineStr">
        <is>
          <t>Quản trị viên tenant</t>
        </is>
      </c>
      <c r="D63" s="5" t="n"/>
      <c r="E63" s="5" t="n"/>
      <c r="F63" s="6" t="n"/>
      <c r="G63" s="62" t="inlineStr">
        <is>
          <t>Quản lý người dùng</t>
        </is>
      </c>
      <c r="H63" s="5" t="n"/>
      <c r="I63" s="6" t="n"/>
      <c r="J63" s="62" t="inlineStr">
        <is>
          <t>Thêm người dùng thất bại - thiếu trường bắt buộc</t>
        </is>
      </c>
      <c r="K63" s="5" t="n"/>
      <c r="L63" s="6" t="n"/>
      <c r="M63" s="62" t="inlineStr">
        <is>
          <t>Đang hiển thị màn hình "ユーザー追加".</t>
        </is>
      </c>
      <c r="N63" s="5" t="n"/>
      <c r="O63" s="5" t="n"/>
      <c r="P63" s="5" t="n"/>
      <c r="Q63" s="6" t="n"/>
      <c r="R63" s="62" t="inlineStr">
        <is>
          <t>① Để trống trường họ bắt buộc
② Nhấn "保存"</t>
        </is>
      </c>
      <c r="S63" s="5" t="n"/>
      <c r="T63" s="5" t="n"/>
      <c r="U63" s="5" t="n"/>
      <c r="V63" s="5" t="n"/>
      <c r="W63" s="5" t="n"/>
      <c r="X63" s="6" t="n"/>
      <c r="Y63" s="62" t="inlineStr">
        <is>
          <t>Lỗi validation của trường họ hiển thị và người dùng không được tạo.</t>
        </is>
      </c>
      <c r="Z63" s="5" t="n"/>
      <c r="AA63" s="5" t="n"/>
      <c r="AB63" s="5" t="n"/>
      <c r="AC63" s="5" t="n"/>
      <c r="AD63" s="6" t="n"/>
      <c r="AE63" s="63" t="inlineStr">
        <is>
          <t>H</t>
        </is>
      </c>
      <c r="AF63" s="6" t="n"/>
      <c r="AG63" s="63" t="n"/>
      <c r="AH63" s="6" t="n"/>
      <c r="AI63" s="63" t="n"/>
      <c r="AJ63" s="6" t="n"/>
      <c r="AK63" s="63" t="n"/>
      <c r="AL63" s="6" t="n"/>
      <c r="AM63" s="63" t="n"/>
      <c r="AN63" s="5" t="n"/>
      <c r="AO63" s="6" t="n"/>
      <c r="AP63" s="63" t="n"/>
      <c r="AQ63" s="6" t="n"/>
      <c r="AR63" s="62" t="n"/>
      <c r="AS63" s="5" t="n"/>
      <c r="AT63" s="6" t="n"/>
      <c r="AU63" s="63" t="n"/>
      <c r="AV63" s="6" t="n"/>
      <c r="AW63" s="63" t="n"/>
      <c r="AX63" s="6" t="n"/>
      <c r="AY63" s="63" t="n"/>
      <c r="AZ63" s="6" t="n"/>
      <c r="BA63" s="63" t="n"/>
      <c r="BB63" s="5" t="n"/>
      <c r="BC63" s="6" t="n"/>
      <c r="BD63" s="63" t="n"/>
      <c r="BE63" s="6" t="n"/>
      <c r="BF63" s="62" t="n"/>
      <c r="BG63" s="5" t="n"/>
      <c r="BH63" s="6" t="n"/>
      <c r="BI63" s="64" t="n"/>
      <c r="BJ63" s="5" t="n"/>
      <c r="BK63" s="42" t="n"/>
    </row>
    <row r="64" ht="45" customHeight="1">
      <c r="A64" s="65" t="inlineStr">
        <is>
          <t>UAT-WEB-058</t>
        </is>
      </c>
      <c r="B64" s="6" t="n"/>
      <c r="C64" s="66" t="inlineStr">
        <is>
          <t>Quản trị viên tenant</t>
        </is>
      </c>
      <c r="D64" s="5" t="n"/>
      <c r="E64" s="5" t="n"/>
      <c r="F64" s="6" t="n"/>
      <c r="G64" s="66" t="inlineStr">
        <is>
          <t>Quản lý người dùng</t>
        </is>
      </c>
      <c r="H64" s="5" t="n"/>
      <c r="I64" s="6" t="n"/>
      <c r="J64" s="66" t="inlineStr">
        <is>
          <t>Kiểm tra phạm vi SIP theo loại tenant</t>
        </is>
      </c>
      <c r="K64" s="5" t="n"/>
      <c r="L64" s="6" t="n"/>
      <c r="M64" s="66" t="inlineStr">
        <is>
          <t>Tenant không sử dụng điện thoại cố định (mã 500-999).</t>
        </is>
      </c>
      <c r="N64" s="5" t="n"/>
      <c r="O64" s="5" t="n"/>
      <c r="P64" s="5" t="n"/>
      <c r="Q64" s="6" t="n"/>
      <c r="R64" s="66" t="inlineStr">
        <is>
          <t>① Nhập 99999 vào số SIP (ngoài phạm vi 10000-99899)
② Nhấn "保存"</t>
        </is>
      </c>
      <c r="S64" s="5" t="n"/>
      <c r="T64" s="5" t="n"/>
      <c r="U64" s="5" t="n"/>
      <c r="V64" s="5" t="n"/>
      <c r="W64" s="5" t="n"/>
      <c r="X64" s="6" t="n"/>
      <c r="Y64" s="66" t="inlineStr">
        <is>
          <t>Lỗi ngoài phạm vi SIP hiển thị và người dùng không được tạo.</t>
        </is>
      </c>
      <c r="Z64" s="5" t="n"/>
      <c r="AA64" s="5" t="n"/>
      <c r="AB64" s="5" t="n"/>
      <c r="AC64" s="5" t="n"/>
      <c r="AD64" s="6" t="n"/>
      <c r="AE64" s="67" t="inlineStr">
        <is>
          <t>H</t>
        </is>
      </c>
      <c r="AF64" s="6" t="n"/>
      <c r="AG64" s="67" t="n"/>
      <c r="AH64" s="6" t="n"/>
      <c r="AI64" s="67" t="n"/>
      <c r="AJ64" s="6" t="n"/>
      <c r="AK64" s="67" t="n"/>
      <c r="AL64" s="6" t="n"/>
      <c r="AM64" s="67" t="n"/>
      <c r="AN64" s="5" t="n"/>
      <c r="AO64" s="6" t="n"/>
      <c r="AP64" s="67" t="n"/>
      <c r="AQ64" s="6" t="n"/>
      <c r="AR64" s="66" t="n"/>
      <c r="AS64" s="5" t="n"/>
      <c r="AT64" s="6" t="n"/>
      <c r="AU64" s="67" t="n"/>
      <c r="AV64" s="6" t="n"/>
      <c r="AW64" s="67" t="n"/>
      <c r="AX64" s="6" t="n"/>
      <c r="AY64" s="67" t="n"/>
      <c r="AZ64" s="6" t="n"/>
      <c r="BA64" s="67" t="n"/>
      <c r="BB64" s="5" t="n"/>
      <c r="BC64" s="6" t="n"/>
      <c r="BD64" s="67" t="n"/>
      <c r="BE64" s="6" t="n"/>
      <c r="BF64" s="66" t="n"/>
      <c r="BG64" s="5" t="n"/>
      <c r="BH64" s="6" t="n"/>
      <c r="BI64" s="68" t="n"/>
      <c r="BJ64" s="5" t="n"/>
      <c r="BK64" s="42" t="n"/>
    </row>
    <row r="65" ht="60" customHeight="1">
      <c r="A65" s="61" t="inlineStr">
        <is>
          <t>UAT-WEB-059</t>
        </is>
      </c>
      <c r="B65" s="6" t="n"/>
      <c r="C65" s="62" t="inlineStr">
        <is>
          <t>Quản trị viên tenant</t>
        </is>
      </c>
      <c r="D65" s="5" t="n"/>
      <c r="E65" s="5" t="n"/>
      <c r="F65" s="6" t="n"/>
      <c r="G65" s="62" t="inlineStr">
        <is>
          <t>Quản lý người dùng</t>
        </is>
      </c>
      <c r="H65" s="5" t="n"/>
      <c r="I65" s="6" t="n"/>
      <c r="J65" s="62" t="inlineStr">
        <is>
          <t>Kiểm tra chi tiết thông tin người dùng</t>
        </is>
      </c>
      <c r="K65" s="5" t="n"/>
      <c r="L65" s="6" t="n"/>
      <c r="M65" s="62" t="inlineStr">
        <is>
          <t>Trong tenant có ít nhất 1 người dùng.</t>
        </is>
      </c>
      <c r="N65" s="5" t="n"/>
      <c r="O65" s="5" t="n"/>
      <c r="P65" s="5" t="n"/>
      <c r="Q65" s="6" t="n"/>
      <c r="R65" s="62" t="inlineStr">
        <is>
          <t>① Nhấn vào dòng người dùng trong danh sách</t>
        </is>
      </c>
      <c r="S65" s="5" t="n"/>
      <c r="T65" s="5" t="n"/>
      <c r="U65" s="5" t="n"/>
      <c r="V65" s="5" t="n"/>
      <c r="W65" s="5" t="n"/>
      <c r="X65" s="6" t="n"/>
      <c r="Y65" s="62" t="inlineStr">
        <is>
          <t>Email, họ tên, katakana, trạng thái, số SIP, địa chỉ, memo, ngày tạo và ngày cập nhật đều hiển thị.</t>
        </is>
      </c>
      <c r="Z65" s="5" t="n"/>
      <c r="AA65" s="5" t="n"/>
      <c r="AB65" s="5" t="n"/>
      <c r="AC65" s="5" t="n"/>
      <c r="AD65" s="6" t="n"/>
      <c r="AE65" s="63" t="inlineStr">
        <is>
          <t>M</t>
        </is>
      </c>
      <c r="AF65" s="6" t="n"/>
      <c r="AG65" s="63" t="n"/>
      <c r="AH65" s="6" t="n"/>
      <c r="AI65" s="63" t="n"/>
      <c r="AJ65" s="6" t="n"/>
      <c r="AK65" s="63" t="n"/>
      <c r="AL65" s="6" t="n"/>
      <c r="AM65" s="63" t="n"/>
      <c r="AN65" s="5" t="n"/>
      <c r="AO65" s="6" t="n"/>
      <c r="AP65" s="63" t="n"/>
      <c r="AQ65" s="6" t="n"/>
      <c r="AR65" s="62" t="n"/>
      <c r="AS65" s="5" t="n"/>
      <c r="AT65" s="6" t="n"/>
      <c r="AU65" s="63" t="n"/>
      <c r="AV65" s="6" t="n"/>
      <c r="AW65" s="63" t="n"/>
      <c r="AX65" s="6" t="n"/>
      <c r="AY65" s="63" t="n"/>
      <c r="AZ65" s="6" t="n"/>
      <c r="BA65" s="63" t="n"/>
      <c r="BB65" s="5" t="n"/>
      <c r="BC65" s="6" t="n"/>
      <c r="BD65" s="63" t="n"/>
      <c r="BE65" s="6" t="n"/>
      <c r="BF65" s="62" t="n"/>
      <c r="BG65" s="5" t="n"/>
      <c r="BH65" s="6" t="n"/>
      <c r="BI65" s="64" t="n"/>
      <c r="BJ65" s="5" t="n"/>
      <c r="BK65" s="42" t="n"/>
    </row>
    <row r="66" ht="45" customHeight="1">
      <c r="A66" s="65" t="inlineStr">
        <is>
          <t>UAT-WEB-060</t>
        </is>
      </c>
      <c r="B66" s="6" t="n"/>
      <c r="C66" s="66" t="inlineStr">
        <is>
          <t>Quản trị viên tenant</t>
        </is>
      </c>
      <c r="D66" s="5" t="n"/>
      <c r="E66" s="5" t="n"/>
      <c r="F66" s="6" t="n"/>
      <c r="G66" s="66" t="inlineStr">
        <is>
          <t>Quản lý người dùng</t>
        </is>
      </c>
      <c r="H66" s="5" t="n"/>
      <c r="I66" s="6" t="n"/>
      <c r="J66" s="66" t="inlineStr">
        <is>
          <t>Kiểm tra nút "編集" và "削除" với người dùng trạng thái "削除済み"</t>
        </is>
      </c>
      <c r="K66" s="5" t="n"/>
      <c r="L66" s="6" t="n"/>
      <c r="M66" s="66" t="inlineStr">
        <is>
          <t>Có người dùng ở trạng thái "削除済み".</t>
        </is>
      </c>
      <c r="N66" s="5" t="n"/>
      <c r="O66" s="5" t="n"/>
      <c r="P66" s="5" t="n"/>
      <c r="Q66" s="6" t="n"/>
      <c r="R66" s="66" t="inlineStr">
        <is>
          <t>① Nhấn người dùng mục tiêu ở trạng thái "削除済み"
② Kiểm tra các nút thao tác</t>
        </is>
      </c>
      <c r="S66" s="5" t="n"/>
      <c r="T66" s="5" t="n"/>
      <c r="U66" s="5" t="n"/>
      <c r="V66" s="5" t="n"/>
      <c r="W66" s="5" t="n"/>
      <c r="X66" s="6" t="n"/>
      <c r="Y66" s="66" t="inlineStr">
        <is>
          <t>Nút "編集" và "削除" không hiển thị, chỉ có thể xem thông tin.</t>
        </is>
      </c>
      <c r="Z66" s="5" t="n"/>
      <c r="AA66" s="5" t="n"/>
      <c r="AB66" s="5" t="n"/>
      <c r="AC66" s="5" t="n"/>
      <c r="AD66" s="6" t="n"/>
      <c r="AE66" s="67" t="inlineStr">
        <is>
          <t>M</t>
        </is>
      </c>
      <c r="AF66" s="6" t="n"/>
      <c r="AG66" s="67" t="n"/>
      <c r="AH66" s="6" t="n"/>
      <c r="AI66" s="67" t="n"/>
      <c r="AJ66" s="6" t="n"/>
      <c r="AK66" s="67" t="n"/>
      <c r="AL66" s="6" t="n"/>
      <c r="AM66" s="67" t="n"/>
      <c r="AN66" s="5" t="n"/>
      <c r="AO66" s="6" t="n"/>
      <c r="AP66" s="67" t="n"/>
      <c r="AQ66" s="6" t="n"/>
      <c r="AR66" s="66" t="n"/>
      <c r="AS66" s="5" t="n"/>
      <c r="AT66" s="6" t="n"/>
      <c r="AU66" s="67" t="n"/>
      <c r="AV66" s="6" t="n"/>
      <c r="AW66" s="67" t="n"/>
      <c r="AX66" s="6" t="n"/>
      <c r="AY66" s="67" t="n"/>
      <c r="AZ66" s="6" t="n"/>
      <c r="BA66" s="67" t="n"/>
      <c r="BB66" s="5" t="n"/>
      <c r="BC66" s="6" t="n"/>
      <c r="BD66" s="67" t="n"/>
      <c r="BE66" s="6" t="n"/>
      <c r="BF66" s="66" t="n"/>
      <c r="BG66" s="5" t="n"/>
      <c r="BH66" s="6" t="n"/>
      <c r="BI66" s="68" t="n"/>
      <c r="BJ66" s="5" t="n"/>
      <c r="BK66" s="42" t="n"/>
    </row>
    <row r="67" ht="75" customHeight="1">
      <c r="A67" s="61" t="inlineStr">
        <is>
          <t>UAT-WEB-061</t>
        </is>
      </c>
      <c r="B67" s="6" t="n"/>
      <c r="C67" s="62" t="inlineStr">
        <is>
          <t>Quản trị viên tenant</t>
        </is>
      </c>
      <c r="D67" s="5" t="n"/>
      <c r="E67" s="5" t="n"/>
      <c r="F67" s="6" t="n"/>
      <c r="G67" s="62" t="inlineStr">
        <is>
          <t>Quản lý người dùng</t>
        </is>
      </c>
      <c r="H67" s="5" t="n"/>
      <c r="I67" s="6" t="n"/>
      <c r="J67" s="62" t="inlineStr">
        <is>
          <t>Chỉnh sửa thông tin người dùng - cập nhật họ tên</t>
        </is>
      </c>
      <c r="K67" s="5" t="n"/>
      <c r="L67" s="6" t="n"/>
      <c r="M67" s="62" t="inlineStr">
        <is>
          <t>Trạng thái người dùng không phải "削除済み".</t>
        </is>
      </c>
      <c r="N67" s="5" t="n"/>
      <c r="O67" s="5" t="n"/>
      <c r="P67" s="5" t="n"/>
      <c r="Q67" s="6" t="n"/>
      <c r="R67" s="62" t="inlineStr">
        <is>
          <t>① Mở chi tiết người dùng và nhấn "編集"
② Chỉnh sửa họ, tên, họ kana, tên kana, địa chỉ và memo
③ Nhấn "保存"</t>
        </is>
      </c>
      <c r="S67" s="5" t="n"/>
      <c r="T67" s="5" t="n"/>
      <c r="U67" s="5" t="n"/>
      <c r="V67" s="5" t="n"/>
      <c r="W67" s="5" t="n"/>
      <c r="X67" s="6" t="n"/>
      <c r="Y67" s="62" t="inlineStr">
        <is>
          <t>Họ, tên, họ kana, tên kana, địa chỉ và memo được cập nhật.
Không thể thay đổi email, trạng thái và số SIP.</t>
        </is>
      </c>
      <c r="Z67" s="5" t="n"/>
      <c r="AA67" s="5" t="n"/>
      <c r="AB67" s="5" t="n"/>
      <c r="AC67" s="5" t="n"/>
      <c r="AD67" s="6" t="n"/>
      <c r="AE67" s="63" t="inlineStr">
        <is>
          <t>M</t>
        </is>
      </c>
      <c r="AF67" s="6" t="n"/>
      <c r="AG67" s="63" t="n"/>
      <c r="AH67" s="6" t="n"/>
      <c r="AI67" s="63" t="n"/>
      <c r="AJ67" s="6" t="n"/>
      <c r="AK67" s="63" t="n"/>
      <c r="AL67" s="6" t="n"/>
      <c r="AM67" s="63" t="n"/>
      <c r="AN67" s="5" t="n"/>
      <c r="AO67" s="6" t="n"/>
      <c r="AP67" s="63" t="n"/>
      <c r="AQ67" s="6" t="n"/>
      <c r="AR67" s="62" t="n"/>
      <c r="AS67" s="5" t="n"/>
      <c r="AT67" s="6" t="n"/>
      <c r="AU67" s="63" t="n"/>
      <c r="AV67" s="6" t="n"/>
      <c r="AW67" s="63" t="n"/>
      <c r="AX67" s="6" t="n"/>
      <c r="AY67" s="63" t="n"/>
      <c r="AZ67" s="6" t="n"/>
      <c r="BA67" s="63" t="n"/>
      <c r="BB67" s="5" t="n"/>
      <c r="BC67" s="6" t="n"/>
      <c r="BD67" s="63" t="n"/>
      <c r="BE67" s="6" t="n"/>
      <c r="BF67" s="62" t="n"/>
      <c r="BG67" s="5" t="n"/>
      <c r="BH67" s="6" t="n"/>
      <c r="BI67" s="64" t="n"/>
      <c r="BJ67" s="5" t="n"/>
      <c r="BK67" s="42" t="n"/>
    </row>
    <row r="68" ht="90" customHeight="1">
      <c r="A68" s="65" t="inlineStr">
        <is>
          <t>UAT-WEB-062</t>
        </is>
      </c>
      <c r="B68" s="6" t="n"/>
      <c r="C68" s="66" t="inlineStr">
        <is>
          <t>Quản trị viên tenant</t>
        </is>
      </c>
      <c r="D68" s="5" t="n"/>
      <c r="E68" s="5" t="n"/>
      <c r="F68" s="6" t="n"/>
      <c r="G68" s="66" t="inlineStr">
        <is>
          <t>Quản lý người dùng</t>
        </is>
      </c>
      <c r="H68" s="5" t="n"/>
      <c r="I68" s="6" t="n"/>
      <c r="J68" s="66" t="inlineStr">
        <is>
          <t>Gửi email kích hoạt cho người dùng "登録済み"</t>
        </is>
      </c>
      <c r="K68" s="5" t="n"/>
      <c r="L68" s="6" t="n"/>
      <c r="M68" s="66" t="inlineStr">
        <is>
          <t>Tồn tại người dùng ở trạng thái "登録済み".</t>
        </is>
      </c>
      <c r="N68" s="5" t="n"/>
      <c r="O68" s="5" t="n"/>
      <c r="P68" s="5" t="n"/>
      <c r="Q68" s="6" t="n"/>
      <c r="R68" s="66" t="inlineStr">
        <is>
          <t>① Chọn checkbox của người dùng "登録済み"
② Nhấn "ログイン情報通知"
③ Kiểm tra popup xác nhận thông thường
④ Nhấn nút "OK"</t>
        </is>
      </c>
      <c r="S68" s="5" t="n"/>
      <c r="T68" s="5" t="n"/>
      <c r="U68" s="5" t="n"/>
      <c r="V68" s="5" t="n"/>
      <c r="W68" s="5" t="n"/>
      <c r="X68" s="6" t="n"/>
      <c r="Y68" s="66" t="inlineStr">
        <is>
          <t>Email kích hoạt được gửi thành công và trạng thái người dùng chuyển thành "アクティブ待ち".</t>
        </is>
      </c>
      <c r="Z68" s="5" t="n"/>
      <c r="AA68" s="5" t="n"/>
      <c r="AB68" s="5" t="n"/>
      <c r="AC68" s="5" t="n"/>
      <c r="AD68" s="6" t="n"/>
      <c r="AE68" s="67" t="inlineStr">
        <is>
          <t>H</t>
        </is>
      </c>
      <c r="AF68" s="6" t="n"/>
      <c r="AG68" s="67" t="n"/>
      <c r="AH68" s="6" t="n"/>
      <c r="AI68" s="67" t="n"/>
      <c r="AJ68" s="6" t="n"/>
      <c r="AK68" s="67" t="n"/>
      <c r="AL68" s="6" t="n"/>
      <c r="AM68" s="67" t="n"/>
      <c r="AN68" s="5" t="n"/>
      <c r="AO68" s="6" t="n"/>
      <c r="AP68" s="67" t="n"/>
      <c r="AQ68" s="6" t="n"/>
      <c r="AR68" s="66" t="n"/>
      <c r="AS68" s="5" t="n"/>
      <c r="AT68" s="6" t="n"/>
      <c r="AU68" s="67" t="n"/>
      <c r="AV68" s="6" t="n"/>
      <c r="AW68" s="67" t="n"/>
      <c r="AX68" s="6" t="n"/>
      <c r="AY68" s="67" t="n"/>
      <c r="AZ68" s="6" t="n"/>
      <c r="BA68" s="67" t="n"/>
      <c r="BB68" s="5" t="n"/>
      <c r="BC68" s="6" t="n"/>
      <c r="BD68" s="67" t="n"/>
      <c r="BE68" s="6" t="n"/>
      <c r="BF68" s="66" t="n"/>
      <c r="BG68" s="5" t="n"/>
      <c r="BH68" s="6" t="n"/>
      <c r="BI68" s="68" t="n"/>
      <c r="BJ68" s="5" t="n"/>
      <c r="BK68" s="42" t="n"/>
    </row>
    <row r="69" ht="165" customHeight="1">
      <c r="A69" s="61" t="inlineStr">
        <is>
          <t>UAT-WEB-063</t>
        </is>
      </c>
      <c r="B69" s="6" t="n"/>
      <c r="C69" s="62" t="inlineStr">
        <is>
          <t>Quản trị viên tenant</t>
        </is>
      </c>
      <c r="D69" s="5" t="n"/>
      <c r="E69" s="5" t="n"/>
      <c r="F69" s="6" t="n"/>
      <c r="G69" s="62" t="inlineStr">
        <is>
          <t>Quản lý người dùng</t>
        </is>
      </c>
      <c r="H69" s="5" t="n"/>
      <c r="I69" s="6" t="n"/>
      <c r="J69" s="62" t="inlineStr">
        <is>
          <t>Gửi lại email kích hoạt cho người dùng "アクティブ待ち"</t>
        </is>
      </c>
      <c r="K69" s="5" t="n"/>
      <c r="L69" s="6" t="n"/>
      <c r="M69" s="62" t="inlineStr">
        <is>
          <t>Tồn tại người dùng ở trạng thái "アクティブ待ち" (đã gửi email 1 lần).</t>
        </is>
      </c>
      <c r="N69" s="5" t="n"/>
      <c r="O69" s="5" t="n"/>
      <c r="P69" s="5" t="n"/>
      <c r="Q69" s="6" t="n"/>
      <c r="R69" s="62" t="inlineStr">
        <is>
          <t>① Chọn checkbox của người dùng "アクティブ待ち"
② Nhấn "ログイン情報通知"
③ Nhấn nút "OK"
④ Tại popup "ログイン情報送信確認", nhấn nút "OK"</t>
        </is>
      </c>
      <c r="S69" s="5" t="n"/>
      <c r="T69" s="5" t="n"/>
      <c r="U69" s="5" t="n"/>
      <c r="V69" s="5" t="n"/>
      <c r="W69" s="5" t="n"/>
      <c r="X69" s="6" t="n"/>
      <c r="Y69" s="62" t="inlineStr">
        <is>
          <t>Popup cảnh báo hiển thị (người dùng này đã được gửi email trước đó).
- Khi nhấn "OK", email kích hoạt được gửi cho toàn bộ người dùng đã chọn.
- Nếu nhấn "キャンセル" tại popup "キャンセル", email chỉ được gửi cho người dùng trạng thái "登録済み" và không gửi cho tài khoản "アクティブ待ち".</t>
        </is>
      </c>
      <c r="Z69" s="5" t="n"/>
      <c r="AA69" s="5" t="n"/>
      <c r="AB69" s="5" t="n"/>
      <c r="AC69" s="5" t="n"/>
      <c r="AD69" s="6" t="n"/>
      <c r="AE69" s="63" t="inlineStr">
        <is>
          <t>H</t>
        </is>
      </c>
      <c r="AF69" s="6" t="n"/>
      <c r="AG69" s="63" t="n"/>
      <c r="AH69" s="6" t="n"/>
      <c r="AI69" s="63" t="n"/>
      <c r="AJ69" s="6" t="n"/>
      <c r="AK69" s="63" t="n"/>
      <c r="AL69" s="6" t="n"/>
      <c r="AM69" s="63" t="n"/>
      <c r="AN69" s="5" t="n"/>
      <c r="AO69" s="6" t="n"/>
      <c r="AP69" s="63" t="n"/>
      <c r="AQ69" s="6" t="n"/>
      <c r="AR69" s="62" t="n"/>
      <c r="AS69" s="5" t="n"/>
      <c r="AT69" s="6" t="n"/>
      <c r="AU69" s="63" t="n"/>
      <c r="AV69" s="6" t="n"/>
      <c r="AW69" s="63" t="n"/>
      <c r="AX69" s="6" t="n"/>
      <c r="AY69" s="63" t="n"/>
      <c r="AZ69" s="6" t="n"/>
      <c r="BA69" s="63" t="n"/>
      <c r="BB69" s="5" t="n"/>
      <c r="BC69" s="6" t="n"/>
      <c r="BD69" s="63" t="n"/>
      <c r="BE69" s="6" t="n"/>
      <c r="BF69" s="62" t="n"/>
      <c r="BG69" s="5" t="n"/>
      <c r="BH69" s="6" t="n"/>
      <c r="BI69" s="64" t="n"/>
      <c r="BJ69" s="5" t="n"/>
      <c r="BK69" s="42" t="n"/>
    </row>
    <row r="70" ht="60" customHeight="1">
      <c r="A70" s="65" t="inlineStr">
        <is>
          <t>UAT-WEB-064</t>
        </is>
      </c>
      <c r="B70" s="6" t="n"/>
      <c r="C70" s="66" t="inlineStr">
        <is>
          <t>Quản trị viên tenant</t>
        </is>
      </c>
      <c r="D70" s="5" t="n"/>
      <c r="E70" s="5" t="n"/>
      <c r="F70" s="6" t="n"/>
      <c r="G70" s="66" t="inlineStr">
        <is>
          <t>Quản lý người dùng</t>
        </is>
      </c>
      <c r="H70" s="5" t="n"/>
      <c r="I70" s="6" t="n"/>
      <c r="J70" s="66" t="inlineStr">
        <is>
          <t>Không thể gửi email kích hoạt cho người dùng ngoài trạng thái "登録済み" và "アクティブ待ち"</t>
        </is>
      </c>
      <c r="K70" s="5" t="n"/>
      <c r="L70" s="6" t="n"/>
      <c r="M70" s="66" t="inlineStr">
        <is>
          <t>Tồn tại người dùng ở trạng thái khác "登録済み" và "アクティブ待ち".</t>
        </is>
      </c>
      <c r="N70" s="5" t="n"/>
      <c r="O70" s="5" t="n"/>
      <c r="P70" s="5" t="n"/>
      <c r="Q70" s="6" t="n"/>
      <c r="R70" s="66" t="inlineStr">
        <is>
          <t>① Kiểm tra trạng thái hiển thị của checkbox</t>
        </is>
      </c>
      <c r="S70" s="5" t="n"/>
      <c r="T70" s="5" t="n"/>
      <c r="U70" s="5" t="n"/>
      <c r="V70" s="5" t="n"/>
      <c r="W70" s="5" t="n"/>
      <c r="X70" s="6" t="n"/>
      <c r="Y70" s="66" t="inlineStr">
        <is>
          <t>Checkbox của người dùng ở trạng thái ngoài "登録済み" và "アクティブ待ち" bị vô hiệu hóa và không thể chọn.</t>
        </is>
      </c>
      <c r="Z70" s="5" t="n"/>
      <c r="AA70" s="5" t="n"/>
      <c r="AB70" s="5" t="n"/>
      <c r="AC70" s="5" t="n"/>
      <c r="AD70" s="6" t="n"/>
      <c r="AE70" s="67" t="inlineStr">
        <is>
          <t>H</t>
        </is>
      </c>
      <c r="AF70" s="6" t="n"/>
      <c r="AG70" s="67" t="n"/>
      <c r="AH70" s="6" t="n"/>
      <c r="AI70" s="67" t="n"/>
      <c r="AJ70" s="6" t="n"/>
      <c r="AK70" s="67" t="n"/>
      <c r="AL70" s="6" t="n"/>
      <c r="AM70" s="67" t="n"/>
      <c r="AN70" s="5" t="n"/>
      <c r="AO70" s="6" t="n"/>
      <c r="AP70" s="67" t="n"/>
      <c r="AQ70" s="6" t="n"/>
      <c r="AR70" s="66" t="n"/>
      <c r="AS70" s="5" t="n"/>
      <c r="AT70" s="6" t="n"/>
      <c r="AU70" s="67" t="n"/>
      <c r="AV70" s="6" t="n"/>
      <c r="AW70" s="67" t="n"/>
      <c r="AX70" s="6" t="n"/>
      <c r="AY70" s="67" t="n"/>
      <c r="AZ70" s="6" t="n"/>
      <c r="BA70" s="67" t="n"/>
      <c r="BB70" s="5" t="n"/>
      <c r="BC70" s="6" t="n"/>
      <c r="BD70" s="67" t="n"/>
      <c r="BE70" s="6" t="n"/>
      <c r="BF70" s="66" t="n"/>
      <c r="BG70" s="5" t="n"/>
      <c r="BH70" s="6" t="n"/>
      <c r="BI70" s="68" t="n"/>
      <c r="BJ70" s="5" t="n"/>
      <c r="BK70" s="42" t="n"/>
    </row>
    <row r="71" ht="60" customHeight="1">
      <c r="A71" s="61" t="inlineStr">
        <is>
          <t>UAT-WEB-065</t>
        </is>
      </c>
      <c r="B71" s="6" t="n"/>
      <c r="C71" s="62" t="inlineStr">
        <is>
          <t>Quản trị viên tenant</t>
        </is>
      </c>
      <c r="D71" s="5" t="n"/>
      <c r="E71" s="5" t="n"/>
      <c r="F71" s="6" t="n"/>
      <c r="G71" s="62" t="inlineStr">
        <is>
          <t>Quản lý người dùng</t>
        </is>
      </c>
      <c r="H71" s="5" t="n"/>
      <c r="I71" s="6" t="n"/>
      <c r="J71" s="62" t="inlineStr">
        <is>
          <t>Quay lại danh sách người dùng bằng nút "戻る"</t>
        </is>
      </c>
      <c r="K71" s="5" t="n"/>
      <c r="L71" s="6" t="n"/>
      <c r="M71" s="62" t="inlineStr">
        <is>
          <t>Đang hiển thị màn hình chi tiết người dùng.</t>
        </is>
      </c>
      <c r="N71" s="5" t="n"/>
      <c r="O71" s="5" t="n"/>
      <c r="P71" s="5" t="n"/>
      <c r="Q71" s="6" t="n"/>
      <c r="R71" s="62" t="inlineStr">
        <is>
          <t>① Nhấn "戻る"</t>
        </is>
      </c>
      <c r="S71" s="5" t="n"/>
      <c r="T71" s="5" t="n"/>
      <c r="U71" s="5" t="n"/>
      <c r="V71" s="5" t="n"/>
      <c r="W71" s="5" t="n"/>
      <c r="X71" s="6" t="n"/>
      <c r="Y71" s="62" t="inlineStr">
        <is>
          <t>Quay lại màn hình danh sách người dùng và điều kiện tìm kiếm ngay trước đó được giữ lại.</t>
        </is>
      </c>
      <c r="Z71" s="5" t="n"/>
      <c r="AA71" s="5" t="n"/>
      <c r="AB71" s="5" t="n"/>
      <c r="AC71" s="5" t="n"/>
      <c r="AD71" s="6" t="n"/>
      <c r="AE71" s="63" t="inlineStr">
        <is>
          <t>M</t>
        </is>
      </c>
      <c r="AF71" s="6" t="n"/>
      <c r="AG71" s="63" t="n"/>
      <c r="AH71" s="6" t="n"/>
      <c r="AI71" s="63" t="n"/>
      <c r="AJ71" s="6" t="n"/>
      <c r="AK71" s="63" t="n"/>
      <c r="AL71" s="6" t="n"/>
      <c r="AM71" s="63" t="n"/>
      <c r="AN71" s="5" t="n"/>
      <c r="AO71" s="6" t="n"/>
      <c r="AP71" s="63" t="n"/>
      <c r="AQ71" s="6" t="n"/>
      <c r="AR71" s="62" t="n"/>
      <c r="AS71" s="5" t="n"/>
      <c r="AT71" s="6" t="n"/>
      <c r="AU71" s="63" t="n"/>
      <c r="AV71" s="6" t="n"/>
      <c r="AW71" s="63" t="n"/>
      <c r="AX71" s="6" t="n"/>
      <c r="AY71" s="63" t="n"/>
      <c r="AZ71" s="6" t="n"/>
      <c r="BA71" s="63" t="n"/>
      <c r="BB71" s="5" t="n"/>
      <c r="BC71" s="6" t="n"/>
      <c r="BD71" s="63" t="n"/>
      <c r="BE71" s="6" t="n"/>
      <c r="BF71" s="62" t="n"/>
      <c r="BG71" s="5" t="n"/>
      <c r="BH71" s="6" t="n"/>
      <c r="BI71" s="64" t="n"/>
      <c r="BJ71" s="5" t="n"/>
      <c r="BK71" s="42" t="n"/>
    </row>
    <row r="72" ht="45" customHeight="1">
      <c r="A72" s="65" t="inlineStr">
        <is>
          <t>UAT-WEB-066</t>
        </is>
      </c>
      <c r="B72" s="6" t="n"/>
      <c r="C72" s="66" t="inlineStr">
        <is>
          <t>Quản trị viên tenant</t>
        </is>
      </c>
      <c r="D72" s="5" t="n"/>
      <c r="E72" s="5" t="n"/>
      <c r="F72" s="6" t="n"/>
      <c r="G72" s="66" t="inlineStr">
        <is>
          <t>Quản lý người dùng</t>
        </is>
      </c>
      <c r="H72" s="5" t="n"/>
      <c r="I72" s="6" t="n"/>
      <c r="J72" s="66" t="inlineStr">
        <is>
          <t>Tải xuống template CSV từ màn hình danh sách người dùng</t>
        </is>
      </c>
      <c r="K72" s="5" t="n"/>
      <c r="L72" s="6" t="n"/>
      <c r="M72" s="66" t="inlineStr">
        <is>
          <t>Đăng nhập bằng quản trị viên tenant.</t>
        </is>
      </c>
      <c r="N72" s="5" t="n"/>
      <c r="O72" s="5" t="n"/>
      <c r="P72" s="5" t="n"/>
      <c r="Q72" s="6" t="n"/>
      <c r="R72" s="66" t="inlineStr">
        <is>
          <t>① Nhấn "CSVテンプレートダウンロード"</t>
        </is>
      </c>
      <c r="S72" s="5" t="n"/>
      <c r="T72" s="5" t="n"/>
      <c r="U72" s="5" t="n"/>
      <c r="V72" s="5" t="n"/>
      <c r="W72" s="5" t="n"/>
      <c r="X72" s="6" t="n"/>
      <c r="Y72" s="66" t="inlineStr">
        <is>
          <t>File người dùng.csv có header đúng định dạng template được tải xuống.</t>
        </is>
      </c>
      <c r="Z72" s="5" t="n"/>
      <c r="AA72" s="5" t="n"/>
      <c r="AB72" s="5" t="n"/>
      <c r="AC72" s="5" t="n"/>
      <c r="AD72" s="6" t="n"/>
      <c r="AE72" s="67" t="inlineStr">
        <is>
          <t>M</t>
        </is>
      </c>
      <c r="AF72" s="6" t="n"/>
      <c r="AG72" s="67" t="n"/>
      <c r="AH72" s="6" t="n"/>
      <c r="AI72" s="67" t="n"/>
      <c r="AJ72" s="6" t="n"/>
      <c r="AK72" s="67" t="n"/>
      <c r="AL72" s="6" t="n"/>
      <c r="AM72" s="67" t="n"/>
      <c r="AN72" s="5" t="n"/>
      <c r="AO72" s="6" t="n"/>
      <c r="AP72" s="67" t="n"/>
      <c r="AQ72" s="6" t="n"/>
      <c r="AR72" s="66" t="n"/>
      <c r="AS72" s="5" t="n"/>
      <c r="AT72" s="6" t="n"/>
      <c r="AU72" s="67" t="n"/>
      <c r="AV72" s="6" t="n"/>
      <c r="AW72" s="67" t="n"/>
      <c r="AX72" s="6" t="n"/>
      <c r="AY72" s="67" t="n"/>
      <c r="AZ72" s="6" t="n"/>
      <c r="BA72" s="67" t="n"/>
      <c r="BB72" s="5" t="n"/>
      <c r="BC72" s="6" t="n"/>
      <c r="BD72" s="67" t="n"/>
      <c r="BE72" s="6" t="n"/>
      <c r="BF72" s="66" t="n"/>
      <c r="BG72" s="5" t="n"/>
      <c r="BH72" s="6" t="n"/>
      <c r="BI72" s="68" t="n"/>
      <c r="BJ72" s="5" t="n"/>
      <c r="BK72" s="42" t="n"/>
    </row>
    <row r="73" ht="120" customHeight="1">
      <c r="A73" s="61" t="inlineStr">
        <is>
          <t>UAT-WEB-067</t>
        </is>
      </c>
      <c r="B73" s="6" t="n"/>
      <c r="C73" s="62" t="inlineStr">
        <is>
          <t>Quản trị viên tenant</t>
        </is>
      </c>
      <c r="D73" s="5" t="n"/>
      <c r="E73" s="5" t="n"/>
      <c r="F73" s="6" t="n"/>
      <c r="G73" s="62" t="inlineStr">
        <is>
          <t>Import hàng loạt người dùng</t>
        </is>
      </c>
      <c r="H73" s="5" t="n"/>
      <c r="I73" s="6" t="n"/>
      <c r="J73" s="62" t="inlineStr">
        <is>
          <t>Upload CSV hợp lệ - tất cả người dùng được tạo</t>
        </is>
      </c>
      <c r="K73" s="5" t="n"/>
      <c r="L73" s="6" t="n"/>
      <c r="M73" s="62" t="inlineStr">
        <is>
          <t>Đã đăng nhập bằng quản trị viên tenant và có file CSV hợp lệ theo template.</t>
        </is>
      </c>
      <c r="N73" s="5" t="n"/>
      <c r="O73" s="5" t="n"/>
      <c r="P73" s="5" t="n"/>
      <c r="Q73" s="6" t="n"/>
      <c r="R73" s="62" t="inlineStr">
        <is>
          <t>① Nhấn "ユーザー一括アップロード"
② Chọn file CSV hợp lệ
③ Nhấn "一括アップロード"</t>
        </is>
      </c>
      <c r="S73" s="5" t="n"/>
      <c r="T73" s="5" t="n"/>
      <c r="U73" s="5" t="n"/>
      <c r="V73" s="5" t="n"/>
      <c r="W73" s="5" t="n"/>
      <c r="X73" s="6" t="n"/>
      <c r="Y73" s="62" t="inlineStr">
        <is>
          <t>Thông báo thành công hiển thị.
Nếu đăng ký vào MVE thành công, người dùng được tạo ở trạng thái "登録済み".
Nếu đăng ký vào MVE thất bại, người dùng được tạo ở trạng thái "登録待ち".</t>
        </is>
      </c>
      <c r="Z73" s="5" t="n"/>
      <c r="AA73" s="5" t="n"/>
      <c r="AB73" s="5" t="n"/>
      <c r="AC73" s="5" t="n"/>
      <c r="AD73" s="6" t="n"/>
      <c r="AE73" s="63" t="inlineStr">
        <is>
          <t>H</t>
        </is>
      </c>
      <c r="AF73" s="6" t="n"/>
      <c r="AG73" s="63" t="n"/>
      <c r="AH73" s="6" t="n"/>
      <c r="AI73" s="63" t="n"/>
      <c r="AJ73" s="6" t="n"/>
      <c r="AK73" s="63" t="n"/>
      <c r="AL73" s="6" t="n"/>
      <c r="AM73" s="63" t="n"/>
      <c r="AN73" s="5" t="n"/>
      <c r="AO73" s="6" t="n"/>
      <c r="AP73" s="63" t="n"/>
      <c r="AQ73" s="6" t="n"/>
      <c r="AR73" s="62" t="n"/>
      <c r="AS73" s="5" t="n"/>
      <c r="AT73" s="6" t="n"/>
      <c r="AU73" s="63" t="n"/>
      <c r="AV73" s="6" t="n"/>
      <c r="AW73" s="63" t="n"/>
      <c r="AX73" s="6" t="n"/>
      <c r="AY73" s="63" t="n"/>
      <c r="AZ73" s="6" t="n"/>
      <c r="BA73" s="63" t="n"/>
      <c r="BB73" s="5" t="n"/>
      <c r="BC73" s="6" t="n"/>
      <c r="BD73" s="63" t="n"/>
      <c r="BE73" s="6" t="n"/>
      <c r="BF73" s="62" t="n"/>
      <c r="BG73" s="5" t="n"/>
      <c r="BH73" s="6" t="n"/>
      <c r="BI73" s="64" t="n"/>
      <c r="BJ73" s="5" t="n"/>
      <c r="BK73" s="42" t="n"/>
    </row>
    <row r="74" ht="30" customHeight="1">
      <c r="A74" s="65" t="inlineStr">
        <is>
          <t>UAT-WEB-068</t>
        </is>
      </c>
      <c r="B74" s="6" t="n"/>
      <c r="C74" s="66" t="inlineStr">
        <is>
          <t>Quản trị viên tenant</t>
        </is>
      </c>
      <c r="D74" s="5" t="n"/>
      <c r="E74" s="5" t="n"/>
      <c r="F74" s="6" t="n"/>
      <c r="G74" s="66" t="inlineStr">
        <is>
          <t>Import hàng loạt người dùng</t>
        </is>
      </c>
      <c r="H74" s="5" t="n"/>
      <c r="I74" s="6" t="n"/>
      <c r="J74" s="66" t="inlineStr">
        <is>
          <t>Upload thất bại - chưa chọn file</t>
        </is>
      </c>
      <c r="K74" s="5" t="n"/>
      <c r="L74" s="6" t="n"/>
      <c r="M74" s="66" t="inlineStr">
        <is>
          <t>Đang hiển thị màn hình import.</t>
        </is>
      </c>
      <c r="N74" s="5" t="n"/>
      <c r="O74" s="5" t="n"/>
      <c r="P74" s="5" t="n"/>
      <c r="Q74" s="6" t="n"/>
      <c r="R74" s="66" t="inlineStr">
        <is>
          <t>① Không chọn file
② Nhấn "一括アップロード"</t>
        </is>
      </c>
      <c r="S74" s="5" t="n"/>
      <c r="T74" s="5" t="n"/>
      <c r="U74" s="5" t="n"/>
      <c r="V74" s="5" t="n"/>
      <c r="W74" s="5" t="n"/>
      <c r="X74" s="6" t="n"/>
      <c r="Y74" s="66" t="inlineStr">
        <is>
          <t>Lỗi "ファイルを1つも選択しない" hiển thị.</t>
        </is>
      </c>
      <c r="Z74" s="5" t="n"/>
      <c r="AA74" s="5" t="n"/>
      <c r="AB74" s="5" t="n"/>
      <c r="AC74" s="5" t="n"/>
      <c r="AD74" s="6" t="n"/>
      <c r="AE74" s="67" t="inlineStr">
        <is>
          <t>H</t>
        </is>
      </c>
      <c r="AF74" s="6" t="n"/>
      <c r="AG74" s="67" t="n"/>
      <c r="AH74" s="6" t="n"/>
      <c r="AI74" s="67" t="n"/>
      <c r="AJ74" s="6" t="n"/>
      <c r="AK74" s="67" t="n"/>
      <c r="AL74" s="6" t="n"/>
      <c r="AM74" s="67" t="n"/>
      <c r="AN74" s="5" t="n"/>
      <c r="AO74" s="6" t="n"/>
      <c r="AP74" s="67" t="n"/>
      <c r="AQ74" s="6" t="n"/>
      <c r="AR74" s="66" t="n"/>
      <c r="AS74" s="5" t="n"/>
      <c r="AT74" s="6" t="n"/>
      <c r="AU74" s="67" t="n"/>
      <c r="AV74" s="6" t="n"/>
      <c r="AW74" s="67" t="n"/>
      <c r="AX74" s="6" t="n"/>
      <c r="AY74" s="67" t="n"/>
      <c r="AZ74" s="6" t="n"/>
      <c r="BA74" s="67" t="n"/>
      <c r="BB74" s="5" t="n"/>
      <c r="BC74" s="6" t="n"/>
      <c r="BD74" s="67" t="n"/>
      <c r="BE74" s="6" t="n"/>
      <c r="BF74" s="66" t="n"/>
      <c r="BG74" s="5" t="n"/>
      <c r="BH74" s="6" t="n"/>
      <c r="BI74" s="68" t="n"/>
      <c r="BJ74" s="5" t="n"/>
      <c r="BK74" s="42" t="n"/>
    </row>
    <row r="75" ht="30" customHeight="1">
      <c r="A75" s="61" t="inlineStr">
        <is>
          <t>UAT-WEB-069</t>
        </is>
      </c>
      <c r="B75" s="6" t="n"/>
      <c r="C75" s="62" t="inlineStr">
        <is>
          <t>Quản trị viên tenant</t>
        </is>
      </c>
      <c r="D75" s="5" t="n"/>
      <c r="E75" s="5" t="n"/>
      <c r="F75" s="6" t="n"/>
      <c r="G75" s="62" t="inlineStr">
        <is>
          <t>Import hàng loạt người dùng</t>
        </is>
      </c>
      <c r="H75" s="5" t="n"/>
      <c r="I75" s="6" t="n"/>
      <c r="J75" s="62" t="inlineStr">
        <is>
          <t>Upload thất bại - chỉ có header, không có dữ liệu</t>
        </is>
      </c>
      <c r="K75" s="5" t="n"/>
      <c r="L75" s="6" t="n"/>
      <c r="M75" s="62" t="inlineStr">
        <is>
          <t>File CSV chỉ có dòng header.</t>
        </is>
      </c>
      <c r="N75" s="5" t="n"/>
      <c r="O75" s="5" t="n"/>
      <c r="P75" s="5" t="n"/>
      <c r="Q75" s="6" t="n"/>
      <c r="R75" s="62" t="inlineStr">
        <is>
          <t>① Upload file CSV chỉ có header
② Nhấn "一括アップロード"</t>
        </is>
      </c>
      <c r="S75" s="5" t="n"/>
      <c r="T75" s="5" t="n"/>
      <c r="U75" s="5" t="n"/>
      <c r="V75" s="5" t="n"/>
      <c r="W75" s="5" t="n"/>
      <c r="X75" s="6" t="n"/>
      <c r="Y75" s="62" t="inlineStr">
        <is>
          <t>Lỗi "CSVファイルがテンプレートと一致しません。" hiển thị.</t>
        </is>
      </c>
      <c r="Z75" s="5" t="n"/>
      <c r="AA75" s="5" t="n"/>
      <c r="AB75" s="5" t="n"/>
      <c r="AC75" s="5" t="n"/>
      <c r="AD75" s="6" t="n"/>
      <c r="AE75" s="63" t="inlineStr">
        <is>
          <t>H</t>
        </is>
      </c>
      <c r="AF75" s="6" t="n"/>
      <c r="AG75" s="63" t="n"/>
      <c r="AH75" s="6" t="n"/>
      <c r="AI75" s="63" t="n"/>
      <c r="AJ75" s="6" t="n"/>
      <c r="AK75" s="63" t="n"/>
      <c r="AL75" s="6" t="n"/>
      <c r="AM75" s="63" t="n"/>
      <c r="AN75" s="5" t="n"/>
      <c r="AO75" s="6" t="n"/>
      <c r="AP75" s="63" t="n"/>
      <c r="AQ75" s="6" t="n"/>
      <c r="AR75" s="62" t="n"/>
      <c r="AS75" s="5" t="n"/>
      <c r="AT75" s="6" t="n"/>
      <c r="AU75" s="63" t="n"/>
      <c r="AV75" s="6" t="n"/>
      <c r="AW75" s="63" t="n"/>
      <c r="AX75" s="6" t="n"/>
      <c r="AY75" s="63" t="n"/>
      <c r="AZ75" s="6" t="n"/>
      <c r="BA75" s="63" t="n"/>
      <c r="BB75" s="5" t="n"/>
      <c r="BC75" s="6" t="n"/>
      <c r="BD75" s="63" t="n"/>
      <c r="BE75" s="6" t="n"/>
      <c r="BF75" s="62" t="n"/>
      <c r="BG75" s="5" t="n"/>
      <c r="BH75" s="6" t="n"/>
      <c r="BI75" s="64" t="n"/>
      <c r="BJ75" s="5" t="n"/>
      <c r="BK75" s="42" t="n"/>
    </row>
    <row r="76" ht="30" customHeight="1">
      <c r="A76" s="65" t="inlineStr">
        <is>
          <t>UAT-WEB-070</t>
        </is>
      </c>
      <c r="B76" s="6" t="n"/>
      <c r="C76" s="66" t="inlineStr">
        <is>
          <t>Quản trị viên tenant</t>
        </is>
      </c>
      <c r="D76" s="5" t="n"/>
      <c r="E76" s="5" t="n"/>
      <c r="F76" s="6" t="n"/>
      <c r="G76" s="66" t="inlineStr">
        <is>
          <t>Import hàng loạt người dùng</t>
        </is>
      </c>
      <c r="H76" s="5" t="n"/>
      <c r="I76" s="6" t="n"/>
      <c r="J76" s="66" t="inlineStr">
        <is>
          <t>Upload thất bại - chỉ có dữ liệu, không có header</t>
        </is>
      </c>
      <c r="K76" s="5" t="n"/>
      <c r="L76" s="6" t="n"/>
      <c r="M76" s="66" t="inlineStr">
        <is>
          <t>File CSV không có dòng header.</t>
        </is>
      </c>
      <c r="N76" s="5" t="n"/>
      <c r="O76" s="5" t="n"/>
      <c r="P76" s="5" t="n"/>
      <c r="Q76" s="6" t="n"/>
      <c r="R76" s="66" t="inlineStr">
        <is>
          <t>① Upload file CSV không có header
② Nhấn "一括アップロード"</t>
        </is>
      </c>
      <c r="S76" s="5" t="n"/>
      <c r="T76" s="5" t="n"/>
      <c r="U76" s="5" t="n"/>
      <c r="V76" s="5" t="n"/>
      <c r="W76" s="5" t="n"/>
      <c r="X76" s="6" t="n"/>
      <c r="Y76" s="66" t="inlineStr">
        <is>
          <t>Lỗi "CSVファイルがテンプレートと一致しません。" hiển thị.</t>
        </is>
      </c>
      <c r="Z76" s="5" t="n"/>
      <c r="AA76" s="5" t="n"/>
      <c r="AB76" s="5" t="n"/>
      <c r="AC76" s="5" t="n"/>
      <c r="AD76" s="6" t="n"/>
      <c r="AE76" s="67" t="inlineStr">
        <is>
          <t>H</t>
        </is>
      </c>
      <c r="AF76" s="6" t="n"/>
      <c r="AG76" s="67" t="n"/>
      <c r="AH76" s="6" t="n"/>
      <c r="AI76" s="67" t="n"/>
      <c r="AJ76" s="6" t="n"/>
      <c r="AK76" s="67" t="n"/>
      <c r="AL76" s="6" t="n"/>
      <c r="AM76" s="67" t="n"/>
      <c r="AN76" s="5" t="n"/>
      <c r="AO76" s="6" t="n"/>
      <c r="AP76" s="67" t="n"/>
      <c r="AQ76" s="6" t="n"/>
      <c r="AR76" s="66" t="n"/>
      <c r="AS76" s="5" t="n"/>
      <c r="AT76" s="6" t="n"/>
      <c r="AU76" s="67" t="n"/>
      <c r="AV76" s="6" t="n"/>
      <c r="AW76" s="67" t="n"/>
      <c r="AX76" s="6" t="n"/>
      <c r="AY76" s="67" t="n"/>
      <c r="AZ76" s="6" t="n"/>
      <c r="BA76" s="67" t="n"/>
      <c r="BB76" s="5" t="n"/>
      <c r="BC76" s="6" t="n"/>
      <c r="BD76" s="67" t="n"/>
      <c r="BE76" s="6" t="n"/>
      <c r="BF76" s="66" t="n"/>
      <c r="BG76" s="5" t="n"/>
      <c r="BH76" s="6" t="n"/>
      <c r="BI76" s="68" t="n"/>
      <c r="BJ76" s="5" t="n"/>
      <c r="BK76" s="42" t="n"/>
    </row>
    <row r="77" ht="105" customHeight="1">
      <c r="A77" s="61" t="inlineStr">
        <is>
          <t>UAT-WEB-071</t>
        </is>
      </c>
      <c r="B77" s="6" t="n"/>
      <c r="C77" s="62" t="inlineStr">
        <is>
          <t>Quản trị viên tenant</t>
        </is>
      </c>
      <c r="D77" s="5" t="n"/>
      <c r="E77" s="5" t="n"/>
      <c r="F77" s="6" t="n"/>
      <c r="G77" s="62" t="inlineStr">
        <is>
          <t>Import hàng loạt người dùng</t>
        </is>
      </c>
      <c r="H77" s="5" t="n"/>
      <c r="I77" s="6" t="n"/>
      <c r="J77" s="62" t="inlineStr">
        <is>
          <t>Upload thất bại - họ chứa ký tự đặc biệt không được phép</t>
        </is>
      </c>
      <c r="K77" s="5" t="n"/>
      <c r="L77" s="6" t="n"/>
      <c r="M77" s="62" t="inlineStr">
        <is>
          <t>File CSV có dòng họ = "Tanaka!@#".</t>
        </is>
      </c>
      <c r="N77" s="5" t="n"/>
      <c r="O77" s="5" t="n"/>
      <c r="P77" s="5" t="n"/>
      <c r="Q77" s="6" t="n"/>
      <c r="R77" s="62" t="inlineStr">
        <is>
          <t>① Upload file CSV có họ chứa ký tự đặc biệt
② Nhấn "一括アップロード"</t>
        </is>
      </c>
      <c r="S77" s="5" t="n"/>
      <c r="T77" s="5" t="n"/>
      <c r="U77" s="5" t="n"/>
      <c r="V77" s="5" t="n"/>
      <c r="W77" s="5" t="n"/>
      <c r="X77" s="6" t="n"/>
      <c r="Y77" s="62" t="inlineStr">
        <is>
          <t>Lỗi "不正な文字が含まれています。もう一度確認してください。" hiển thị và link tải file lỗi hiển thị.
Người dùng không được tạo.
Cột ghi chú lỗi trong file lỗi ghi lỗi của mục họ.</t>
        </is>
      </c>
      <c r="Z77" s="5" t="n"/>
      <c r="AA77" s="5" t="n"/>
      <c r="AB77" s="5" t="n"/>
      <c r="AC77" s="5" t="n"/>
      <c r="AD77" s="6" t="n"/>
      <c r="AE77" s="63" t="inlineStr">
        <is>
          <t>H</t>
        </is>
      </c>
      <c r="AF77" s="6" t="n"/>
      <c r="AG77" s="63" t="n"/>
      <c r="AH77" s="6" t="n"/>
      <c r="AI77" s="63" t="n"/>
      <c r="AJ77" s="6" t="n"/>
      <c r="AK77" s="63" t="n"/>
      <c r="AL77" s="6" t="n"/>
      <c r="AM77" s="63" t="n"/>
      <c r="AN77" s="5" t="n"/>
      <c r="AO77" s="6" t="n"/>
      <c r="AP77" s="63" t="n"/>
      <c r="AQ77" s="6" t="n"/>
      <c r="AR77" s="62" t="n"/>
      <c r="AS77" s="5" t="n"/>
      <c r="AT77" s="6" t="n"/>
      <c r="AU77" s="63" t="n"/>
      <c r="AV77" s="6" t="n"/>
      <c r="AW77" s="63" t="n"/>
      <c r="AX77" s="6" t="n"/>
      <c r="AY77" s="63" t="n"/>
      <c r="AZ77" s="6" t="n"/>
      <c r="BA77" s="63" t="n"/>
      <c r="BB77" s="5" t="n"/>
      <c r="BC77" s="6" t="n"/>
      <c r="BD77" s="63" t="n"/>
      <c r="BE77" s="6" t="n"/>
      <c r="BF77" s="62" t="n"/>
      <c r="BG77" s="5" t="n"/>
      <c r="BH77" s="6" t="n"/>
      <c r="BI77" s="64" t="n"/>
      <c r="BJ77" s="5" t="n"/>
      <c r="BK77" s="42" t="n"/>
    </row>
    <row r="78" ht="90" customHeight="1">
      <c r="A78" s="65" t="inlineStr">
        <is>
          <t>UAT-WEB-072</t>
        </is>
      </c>
      <c r="B78" s="6" t="n"/>
      <c r="C78" s="66" t="inlineStr">
        <is>
          <t>Quản trị viên tenant</t>
        </is>
      </c>
      <c r="D78" s="5" t="n"/>
      <c r="E78" s="5" t="n"/>
      <c r="F78" s="6" t="n"/>
      <c r="G78" s="66" t="inlineStr">
        <is>
          <t>Import hàng loạt người dùng</t>
        </is>
      </c>
      <c r="H78" s="5" t="n"/>
      <c r="I78" s="6" t="n"/>
      <c r="J78" s="66" t="inlineStr">
        <is>
          <t>Upload thất bại - họ kana chứa ký tự không phải katakana</t>
        </is>
      </c>
      <c r="K78" s="5" t="n"/>
      <c r="L78" s="6" t="n"/>
      <c r="M78" s="66" t="inlineStr">
        <is>
          <t>File CSV có dòng họ kana = "tanaka" (chữ thường, không phải katakana).</t>
        </is>
      </c>
      <c r="N78" s="5" t="n"/>
      <c r="O78" s="5" t="n"/>
      <c r="P78" s="5" t="n"/>
      <c r="Q78" s="6" t="n"/>
      <c r="R78" s="66" t="inlineStr">
        <is>
          <t>① Upload file CSV
② Nhấn "一括アップロード"</t>
        </is>
      </c>
      <c r="S78" s="5" t="n"/>
      <c r="T78" s="5" t="n"/>
      <c r="U78" s="5" t="n"/>
      <c r="V78" s="5" t="n"/>
      <c r="W78" s="5" t="n"/>
      <c r="X78" s="6" t="n"/>
      <c r="Y78" s="66" t="inlineStr">
        <is>
          <t>Lỗi "全角カタカナで入力してください" hiển thị và link tải file lỗi hiển thị.
Người dùng không được tạo.
Cột ghi chú lỗi trong file lỗi ghi lỗi của mục họ kana.</t>
        </is>
      </c>
      <c r="Z78" s="5" t="n"/>
      <c r="AA78" s="5" t="n"/>
      <c r="AB78" s="5" t="n"/>
      <c r="AC78" s="5" t="n"/>
      <c r="AD78" s="6" t="n"/>
      <c r="AE78" s="67" t="inlineStr">
        <is>
          <t>H</t>
        </is>
      </c>
      <c r="AF78" s="6" t="n"/>
      <c r="AG78" s="67" t="n"/>
      <c r="AH78" s="6" t="n"/>
      <c r="AI78" s="67" t="n"/>
      <c r="AJ78" s="6" t="n"/>
      <c r="AK78" s="67" t="n"/>
      <c r="AL78" s="6" t="n"/>
      <c r="AM78" s="67" t="n"/>
      <c r="AN78" s="5" t="n"/>
      <c r="AO78" s="6" t="n"/>
      <c r="AP78" s="67" t="n"/>
      <c r="AQ78" s="6" t="n"/>
      <c r="AR78" s="66" t="n"/>
      <c r="AS78" s="5" t="n"/>
      <c r="AT78" s="6" t="n"/>
      <c r="AU78" s="67" t="n"/>
      <c r="AV78" s="6" t="n"/>
      <c r="AW78" s="67" t="n"/>
      <c r="AX78" s="6" t="n"/>
      <c r="AY78" s="67" t="n"/>
      <c r="AZ78" s="6" t="n"/>
      <c r="BA78" s="67" t="n"/>
      <c r="BB78" s="5" t="n"/>
      <c r="BC78" s="6" t="n"/>
      <c r="BD78" s="67" t="n"/>
      <c r="BE78" s="6" t="n"/>
      <c r="BF78" s="66" t="n"/>
      <c r="BG78" s="5" t="n"/>
      <c r="BH78" s="6" t="n"/>
      <c r="BI78" s="68" t="n"/>
      <c r="BJ78" s="5" t="n"/>
      <c r="BK78" s="42" t="n"/>
    </row>
    <row r="79" ht="90" customHeight="1">
      <c r="A79" s="61" t="inlineStr">
        <is>
          <t>UAT-WEB-073</t>
        </is>
      </c>
      <c r="B79" s="6" t="n"/>
      <c r="C79" s="62" t="inlineStr">
        <is>
          <t>Quản trị viên tenant</t>
        </is>
      </c>
      <c r="D79" s="5" t="n"/>
      <c r="E79" s="5" t="n"/>
      <c r="F79" s="6" t="n"/>
      <c r="G79" s="62" t="inlineStr">
        <is>
          <t>Import hàng loạt người dùng</t>
        </is>
      </c>
      <c r="H79" s="5" t="n"/>
      <c r="I79" s="6" t="n"/>
      <c r="J79" s="62" t="inlineStr">
        <is>
          <t>Upload thất bại - số SIP không phải 4 chữ số (tenant điện thoại cố định)</t>
        </is>
      </c>
      <c r="K79" s="5" t="n"/>
      <c r="L79" s="6" t="n"/>
      <c r="M79" s="62" t="inlineStr">
        <is>
          <t>File CSV có dòng SIP = 99 (2 chữ số).</t>
        </is>
      </c>
      <c r="N79" s="5" t="n"/>
      <c r="O79" s="5" t="n"/>
      <c r="P79" s="5" t="n"/>
      <c r="Q79" s="6" t="n"/>
      <c r="R79" s="62" t="inlineStr">
        <is>
          <t>① Upload file CSV có SIP 2 chữ số
② Nhấn "一括アップロード"</t>
        </is>
      </c>
      <c r="S79" s="5" t="n"/>
      <c r="T79" s="5" t="n"/>
      <c r="U79" s="5" t="n"/>
      <c r="V79" s="5" t="n"/>
      <c r="W79" s="5" t="n"/>
      <c r="X79" s="6" t="n"/>
      <c r="Y79" s="62" t="inlineStr">
        <is>
          <t>Lỗi hiển thị và link tải file lỗi hiển thị.
Người dùng không được tạo.
Cột ghi chú lỗi trong file lỗi ghi rằng SIP cần có 5 chữ số.</t>
        </is>
      </c>
      <c r="Z79" s="5" t="n"/>
      <c r="AA79" s="5" t="n"/>
      <c r="AB79" s="5" t="n"/>
      <c r="AC79" s="5" t="n"/>
      <c r="AD79" s="6" t="n"/>
      <c r="AE79" s="63" t="inlineStr">
        <is>
          <t>H</t>
        </is>
      </c>
      <c r="AF79" s="6" t="n"/>
      <c r="AG79" s="63" t="n"/>
      <c r="AH79" s="6" t="n"/>
      <c r="AI79" s="63" t="n"/>
      <c r="AJ79" s="6" t="n"/>
      <c r="AK79" s="63" t="n"/>
      <c r="AL79" s="6" t="n"/>
      <c r="AM79" s="63" t="n"/>
      <c r="AN79" s="5" t="n"/>
      <c r="AO79" s="6" t="n"/>
      <c r="AP79" s="63" t="n"/>
      <c r="AQ79" s="6" t="n"/>
      <c r="AR79" s="62" t="n"/>
      <c r="AS79" s="5" t="n"/>
      <c r="AT79" s="6" t="n"/>
      <c r="AU79" s="63" t="n"/>
      <c r="AV79" s="6" t="n"/>
      <c r="AW79" s="63" t="n"/>
      <c r="AX79" s="6" t="n"/>
      <c r="AY79" s="63" t="n"/>
      <c r="AZ79" s="6" t="n"/>
      <c r="BA79" s="63" t="n"/>
      <c r="BB79" s="5" t="n"/>
      <c r="BC79" s="6" t="n"/>
      <c r="BD79" s="63" t="n"/>
      <c r="BE79" s="6" t="n"/>
      <c r="BF79" s="62" t="n"/>
      <c r="BG79" s="5" t="n"/>
      <c r="BH79" s="6" t="n"/>
      <c r="BI79" s="64" t="n"/>
      <c r="BJ79" s="5" t="n"/>
      <c r="BK79" s="42" t="n"/>
    </row>
    <row r="80" ht="75" customHeight="1">
      <c r="A80" s="65" t="inlineStr">
        <is>
          <t>UAT-WEB-074</t>
        </is>
      </c>
      <c r="B80" s="6" t="n"/>
      <c r="C80" s="66" t="inlineStr">
        <is>
          <t>Quản trị viên tenant</t>
        </is>
      </c>
      <c r="D80" s="5" t="n"/>
      <c r="E80" s="5" t="n"/>
      <c r="F80" s="6" t="n"/>
      <c r="G80" s="66" t="inlineStr">
        <is>
          <t>Import hàng loạt người dùng</t>
        </is>
      </c>
      <c r="H80" s="5" t="n"/>
      <c r="I80" s="6" t="n"/>
      <c r="J80" s="66" t="inlineStr">
        <is>
          <t>Upload thất bại - số SIP không hợp lệ</t>
        </is>
      </c>
      <c r="K80" s="5" t="n"/>
      <c r="L80" s="6" t="n"/>
      <c r="M80" s="66" t="inlineStr">
        <is>
          <t>Tenant ID = 111 nhưng số SIP nằm ngoài phạm vi 11000-11899.</t>
        </is>
      </c>
      <c r="N80" s="5" t="n"/>
      <c r="O80" s="5" t="n"/>
      <c r="P80" s="5" t="n"/>
      <c r="Q80" s="6" t="n"/>
      <c r="R80" s="66" t="inlineStr">
        <is>
          <t>① Upload file CSV có SIP ngoài phạm vi 11000-11899
② Nhấn "一括アップロード"</t>
        </is>
      </c>
      <c r="S80" s="5" t="n"/>
      <c r="T80" s="5" t="n"/>
      <c r="U80" s="5" t="n"/>
      <c r="V80" s="5" t="n"/>
      <c r="W80" s="5" t="n"/>
      <c r="X80" s="6" t="n"/>
      <c r="Y80" s="66" t="inlineStr">
        <is>
          <t>Lỗi hiển thị và link tải file lỗi hiển thị.
Người dùng không được tạo.
Cột ghi chú lỗi trong file lỗi ghi số SIP không hợp lệ.</t>
        </is>
      </c>
      <c r="Z80" s="5" t="n"/>
      <c r="AA80" s="5" t="n"/>
      <c r="AB80" s="5" t="n"/>
      <c r="AC80" s="5" t="n"/>
      <c r="AD80" s="6" t="n"/>
      <c r="AE80" s="67" t="inlineStr">
        <is>
          <t>H</t>
        </is>
      </c>
      <c r="AF80" s="6" t="n"/>
      <c r="AG80" s="67" t="n"/>
      <c r="AH80" s="6" t="n"/>
      <c r="AI80" s="67" t="n"/>
      <c r="AJ80" s="6" t="n"/>
      <c r="AK80" s="67" t="n"/>
      <c r="AL80" s="6" t="n"/>
      <c r="AM80" s="67" t="n"/>
      <c r="AN80" s="5" t="n"/>
      <c r="AO80" s="6" t="n"/>
      <c r="AP80" s="67" t="n"/>
      <c r="AQ80" s="6" t="n"/>
      <c r="AR80" s="66" t="n"/>
      <c r="AS80" s="5" t="n"/>
      <c r="AT80" s="6" t="n"/>
      <c r="AU80" s="67" t="n"/>
      <c r="AV80" s="6" t="n"/>
      <c r="AW80" s="67" t="n"/>
      <c r="AX80" s="6" t="n"/>
      <c r="AY80" s="67" t="n"/>
      <c r="AZ80" s="6" t="n"/>
      <c r="BA80" s="67" t="n"/>
      <c r="BB80" s="5" t="n"/>
      <c r="BC80" s="6" t="n"/>
      <c r="BD80" s="67" t="n"/>
      <c r="BE80" s="6" t="n"/>
      <c r="BF80" s="66" t="n"/>
      <c r="BG80" s="5" t="n"/>
      <c r="BH80" s="6" t="n"/>
      <c r="BI80" s="68" t="n"/>
      <c r="BJ80" s="5" t="n"/>
      <c r="BK80" s="42" t="n"/>
    </row>
    <row r="81" ht="75" customHeight="1">
      <c r="A81" s="61" t="inlineStr">
        <is>
          <t>UAT-WEB-075</t>
        </is>
      </c>
      <c r="B81" s="6" t="n"/>
      <c r="C81" s="62" t="inlineStr">
        <is>
          <t>Quản trị viên tenant</t>
        </is>
      </c>
      <c r="D81" s="5" t="n"/>
      <c r="E81" s="5" t="n"/>
      <c r="F81" s="6" t="n"/>
      <c r="G81" s="62" t="inlineStr">
        <is>
          <t>Import hàng loạt người dùng</t>
        </is>
      </c>
      <c r="H81" s="5" t="n"/>
      <c r="I81" s="6" t="n"/>
      <c r="J81" s="62" t="inlineStr">
        <is>
          <t>Upload thất bại - số SIP không hợp lệ</t>
        </is>
      </c>
      <c r="K81" s="5" t="n"/>
      <c r="L81" s="6" t="n"/>
      <c r="M81" s="62" t="inlineStr">
        <is>
          <t>Tenant ID = 500 nhưng số SIP nằm ngoài phạm vi 10000-99899.</t>
        </is>
      </c>
      <c r="N81" s="5" t="n"/>
      <c r="O81" s="5" t="n"/>
      <c r="P81" s="5" t="n"/>
      <c r="Q81" s="6" t="n"/>
      <c r="R81" s="62" t="inlineStr">
        <is>
          <t>① Upload file CSV có SIP ngoài phạm vi 10000-99899
② Nhấn "一括アップロード"</t>
        </is>
      </c>
      <c r="S81" s="5" t="n"/>
      <c r="T81" s="5" t="n"/>
      <c r="U81" s="5" t="n"/>
      <c r="V81" s="5" t="n"/>
      <c r="W81" s="5" t="n"/>
      <c r="X81" s="6" t="n"/>
      <c r="Y81" s="62" t="inlineStr">
        <is>
          <t>Lỗi hiển thị và link tải file lỗi hiển thị.
Người dùng không được tạo.
Cột ghi chú lỗi trong file lỗi ghi số SIP không hợp lệ.</t>
        </is>
      </c>
      <c r="Z81" s="5" t="n"/>
      <c r="AA81" s="5" t="n"/>
      <c r="AB81" s="5" t="n"/>
      <c r="AC81" s="5" t="n"/>
      <c r="AD81" s="6" t="n"/>
      <c r="AE81" s="63" t="inlineStr">
        <is>
          <t>H</t>
        </is>
      </c>
      <c r="AF81" s="6" t="n"/>
      <c r="AG81" s="63" t="n"/>
      <c r="AH81" s="6" t="n"/>
      <c r="AI81" s="63" t="n"/>
      <c r="AJ81" s="6" t="n"/>
      <c r="AK81" s="63" t="n"/>
      <c r="AL81" s="6" t="n"/>
      <c r="AM81" s="63" t="n"/>
      <c r="AN81" s="5" t="n"/>
      <c r="AO81" s="6" t="n"/>
      <c r="AP81" s="63" t="n"/>
      <c r="AQ81" s="6" t="n"/>
      <c r="AR81" s="62" t="n"/>
      <c r="AS81" s="5" t="n"/>
      <c r="AT81" s="6" t="n"/>
      <c r="AU81" s="63" t="n"/>
      <c r="AV81" s="6" t="n"/>
      <c r="AW81" s="63" t="n"/>
      <c r="AX81" s="6" t="n"/>
      <c r="AY81" s="63" t="n"/>
      <c r="AZ81" s="6" t="n"/>
      <c r="BA81" s="63" t="n"/>
      <c r="BB81" s="5" t="n"/>
      <c r="BC81" s="6" t="n"/>
      <c r="BD81" s="63" t="n"/>
      <c r="BE81" s="6" t="n"/>
      <c r="BF81" s="62" t="n"/>
      <c r="BG81" s="5" t="n"/>
      <c r="BH81" s="6" t="n"/>
      <c r="BI81" s="64" t="n"/>
      <c r="BJ81" s="5" t="n"/>
      <c r="BK81" s="42" t="n"/>
    </row>
    <row r="82" ht="150" customHeight="1">
      <c r="A82" s="65" t="inlineStr">
        <is>
          <t>UAT-WEB-076</t>
        </is>
      </c>
      <c r="B82" s="6" t="n"/>
      <c r="C82" s="66" t="inlineStr">
        <is>
          <t>Quản trị viên tenant</t>
        </is>
      </c>
      <c r="D82" s="5" t="n"/>
      <c r="E82" s="5" t="n"/>
      <c r="F82" s="6" t="n"/>
      <c r="G82" s="66" t="inlineStr">
        <is>
          <t>Import hàng loạt người dùng</t>
        </is>
      </c>
      <c r="H82" s="5" t="n"/>
      <c r="I82" s="6" t="n"/>
      <c r="J82" s="66" t="inlineStr">
        <is>
          <t>Upload thất bại - email bị trùng trong cùng file CSV</t>
        </is>
      </c>
      <c r="K82" s="5" t="n"/>
      <c r="L82" s="6" t="n"/>
      <c r="M82" s="66" t="inlineStr">
        <is>
          <t>Trong file CSV có 2 dòng sử dụng cùng email.</t>
        </is>
      </c>
      <c r="N82" s="5" t="n"/>
      <c r="O82" s="5" t="n"/>
      <c r="P82" s="5" t="n"/>
      <c r="Q82" s="6" t="n"/>
      <c r="R82" s="66" t="inlineStr">
        <is>
          <t>① Upload file có email trùng
② Nhấn "一括アップロード"</t>
        </is>
      </c>
      <c r="S82" s="5" t="n"/>
      <c r="T82" s="5" t="n"/>
      <c r="U82" s="5" t="n"/>
      <c r="V82" s="5" t="n"/>
      <c r="W82" s="5" t="n"/>
      <c r="X82" s="6" t="n"/>
      <c r="Y82" s="66" t="inlineStr">
        <is>
          <t>Lỗi [{0} đã tồn tại. Vui lòng nhập giá trị khác.] hiển thị và link tải file lỗi hiển thị.
- {0}: giá trị người dùng nhập bị trùng với giá trị đã tồn tại.
Người dùng không được tạo.
Cột ghi chú lỗi trong file lỗi ghi lỗi trùng email.</t>
        </is>
      </c>
      <c r="Z82" s="5" t="n"/>
      <c r="AA82" s="5" t="n"/>
      <c r="AB82" s="5" t="n"/>
      <c r="AC82" s="5" t="n"/>
      <c r="AD82" s="6" t="n"/>
      <c r="AE82" s="67" t="inlineStr">
        <is>
          <t>H</t>
        </is>
      </c>
      <c r="AF82" s="6" t="n"/>
      <c r="AG82" s="67" t="n"/>
      <c r="AH82" s="6" t="n"/>
      <c r="AI82" s="67" t="n"/>
      <c r="AJ82" s="6" t="n"/>
      <c r="AK82" s="67" t="n"/>
      <c r="AL82" s="6" t="n"/>
      <c r="AM82" s="67" t="n"/>
      <c r="AN82" s="5" t="n"/>
      <c r="AO82" s="6" t="n"/>
      <c r="AP82" s="67" t="n"/>
      <c r="AQ82" s="6" t="n"/>
      <c r="AR82" s="66" t="n"/>
      <c r="AS82" s="5" t="n"/>
      <c r="AT82" s="6" t="n"/>
      <c r="AU82" s="67" t="n"/>
      <c r="AV82" s="6" t="n"/>
      <c r="AW82" s="67" t="n"/>
      <c r="AX82" s="6" t="n"/>
      <c r="AY82" s="67" t="n"/>
      <c r="AZ82" s="6" t="n"/>
      <c r="BA82" s="67" t="n"/>
      <c r="BB82" s="5" t="n"/>
      <c r="BC82" s="6" t="n"/>
      <c r="BD82" s="67" t="n"/>
      <c r="BE82" s="6" t="n"/>
      <c r="BF82" s="66" t="n"/>
      <c r="BG82" s="5" t="n"/>
      <c r="BH82" s="6" t="n"/>
      <c r="BI82" s="68" t="n"/>
      <c r="BJ82" s="5" t="n"/>
      <c r="BK82" s="42" t="n"/>
    </row>
    <row r="83" ht="75" customHeight="1">
      <c r="A83" s="61" t="inlineStr">
        <is>
          <t>UAT-WEB-077</t>
        </is>
      </c>
      <c r="B83" s="6" t="n"/>
      <c r="C83" s="62" t="inlineStr">
        <is>
          <t>Quản trị viên tenant</t>
        </is>
      </c>
      <c r="D83" s="5" t="n"/>
      <c r="E83" s="5" t="n"/>
      <c r="F83" s="6" t="n"/>
      <c r="G83" s="62" t="inlineStr">
        <is>
          <t>Import hàng loạt người dùng</t>
        </is>
      </c>
      <c r="H83" s="5" t="n"/>
      <c r="I83" s="6" t="n"/>
      <c r="J83" s="62" t="inlineStr">
        <is>
          <t>Kiểm tra import bị vô hiệu hóa trong thời gian bảo trì</t>
        </is>
      </c>
      <c r="K83" s="5" t="n"/>
      <c r="L83" s="6" t="n"/>
      <c r="M83" s="62" t="inlineStr">
        <is>
          <t>Quản trị viên Okada Denki đã nhấn nút "メンテナンス開始" trên màn hình quản lý và đang thực hiện bảo trì.</t>
        </is>
      </c>
      <c r="N83" s="5" t="n"/>
      <c r="O83" s="5" t="n"/>
      <c r="P83" s="5" t="n"/>
      <c r="Q83" s="6" t="n"/>
      <c r="R83" s="62" t="inlineStr">
        <is>
          <t>① Quản trị viên tenant thực hiện upload file</t>
        </is>
      </c>
      <c r="S83" s="5" t="n"/>
      <c r="T83" s="5" t="n"/>
      <c r="U83" s="5" t="n"/>
      <c r="V83" s="5" t="n"/>
      <c r="W83" s="5" t="n"/>
      <c r="X83" s="6" t="n"/>
      <c r="Y83" s="62" t="inlineStr">
        <is>
          <t>Chức năng import bị vô hiệu hóa và thông báo hệ thống đang bảo trì hiển thị.</t>
        </is>
      </c>
      <c r="Z83" s="5" t="n"/>
      <c r="AA83" s="5" t="n"/>
      <c r="AB83" s="5" t="n"/>
      <c r="AC83" s="5" t="n"/>
      <c r="AD83" s="6" t="n"/>
      <c r="AE83" s="63" t="inlineStr">
        <is>
          <t>H</t>
        </is>
      </c>
      <c r="AF83" s="6" t="n"/>
      <c r="AG83" s="63" t="n"/>
      <c r="AH83" s="6" t="n"/>
      <c r="AI83" s="63" t="n"/>
      <c r="AJ83" s="6" t="n"/>
      <c r="AK83" s="63" t="n"/>
      <c r="AL83" s="6" t="n"/>
      <c r="AM83" s="63" t="n"/>
      <c r="AN83" s="5" t="n"/>
      <c r="AO83" s="6" t="n"/>
      <c r="AP83" s="63" t="n"/>
      <c r="AQ83" s="6" t="n"/>
      <c r="AR83" s="62" t="n"/>
      <c r="AS83" s="5" t="n"/>
      <c r="AT83" s="6" t="n"/>
      <c r="AU83" s="63" t="n"/>
      <c r="AV83" s="6" t="n"/>
      <c r="AW83" s="63" t="n"/>
      <c r="AX83" s="6" t="n"/>
      <c r="AY83" s="63" t="n"/>
      <c r="AZ83" s="6" t="n"/>
      <c r="BA83" s="63" t="n"/>
      <c r="BB83" s="5" t="n"/>
      <c r="BC83" s="6" t="n"/>
      <c r="BD83" s="63" t="n"/>
      <c r="BE83" s="6" t="n"/>
      <c r="BF83" s="62" t="n"/>
      <c r="BG83" s="5" t="n"/>
      <c r="BH83" s="6" t="n"/>
      <c r="BI83" s="64" t="n"/>
      <c r="BJ83" s="5" t="n"/>
      <c r="BK83" s="42" t="n"/>
    </row>
    <row r="84" ht="75" customHeight="1">
      <c r="A84" s="65" t="inlineStr">
        <is>
          <t>UAT-WEB-078</t>
        </is>
      </c>
      <c r="B84" s="6" t="n"/>
      <c r="C84" s="66" t="inlineStr">
        <is>
          <t>Quản trị viên tenant</t>
        </is>
      </c>
      <c r="D84" s="5" t="n"/>
      <c r="E84" s="5" t="n"/>
      <c r="F84" s="6" t="n"/>
      <c r="G84" s="66" t="inlineStr">
        <is>
          <t>Import hàng loạt người dùng</t>
        </is>
      </c>
      <c r="H84" s="5" t="n"/>
      <c r="I84" s="6" t="n"/>
      <c r="J84" s="66" t="inlineStr">
        <is>
          <t>Import hoạt động lại bình thường sau khi kết thúc bảo trì</t>
        </is>
      </c>
      <c r="K84" s="5" t="n"/>
      <c r="L84" s="6" t="n"/>
      <c r="M84" s="66" t="inlineStr">
        <is>
          <t>Quản trị viên Okada Denki đã nhấn nút "メンテナンス終了" trên màn hình quản lý và bảo trì đã kết thúc.</t>
        </is>
      </c>
      <c r="N84" s="5" t="n"/>
      <c r="O84" s="5" t="n"/>
      <c r="P84" s="5" t="n"/>
      <c r="Q84" s="6" t="n"/>
      <c r="R84" s="66" t="inlineStr">
        <is>
          <t>① Quản trị viên tenant thực hiện upload file</t>
        </is>
      </c>
      <c r="S84" s="5" t="n"/>
      <c r="T84" s="5" t="n"/>
      <c r="U84" s="5" t="n"/>
      <c r="V84" s="5" t="n"/>
      <c r="W84" s="5" t="n"/>
      <c r="X84" s="6" t="n"/>
      <c r="Y84" s="66" t="inlineStr">
        <is>
          <t>Chức năng import hoạt động lại bình thường.</t>
        </is>
      </c>
      <c r="Z84" s="5" t="n"/>
      <c r="AA84" s="5" t="n"/>
      <c r="AB84" s="5" t="n"/>
      <c r="AC84" s="5" t="n"/>
      <c r="AD84" s="6" t="n"/>
      <c r="AE84" s="67" t="inlineStr">
        <is>
          <t>H</t>
        </is>
      </c>
      <c r="AF84" s="6" t="n"/>
      <c r="AG84" s="67" t="n"/>
      <c r="AH84" s="6" t="n"/>
      <c r="AI84" s="67" t="n"/>
      <c r="AJ84" s="6" t="n"/>
      <c r="AK84" s="67" t="n"/>
      <c r="AL84" s="6" t="n"/>
      <c r="AM84" s="67" t="n"/>
      <c r="AN84" s="5" t="n"/>
      <c r="AO84" s="6" t="n"/>
      <c r="AP84" s="67" t="n"/>
      <c r="AQ84" s="6" t="n"/>
      <c r="AR84" s="66" t="n"/>
      <c r="AS84" s="5" t="n"/>
      <c r="AT84" s="6" t="n"/>
      <c r="AU84" s="67" t="n"/>
      <c r="AV84" s="6" t="n"/>
      <c r="AW84" s="67" t="n"/>
      <c r="AX84" s="6" t="n"/>
      <c r="AY84" s="67" t="n"/>
      <c r="AZ84" s="6" t="n"/>
      <c r="BA84" s="67" t="n"/>
      <c r="BB84" s="5" t="n"/>
      <c r="BC84" s="6" t="n"/>
      <c r="BD84" s="67" t="n"/>
      <c r="BE84" s="6" t="n"/>
      <c r="BF84" s="66" t="n"/>
      <c r="BG84" s="5" t="n"/>
      <c r="BH84" s="6" t="n"/>
      <c r="BI84" s="68" t="n"/>
      <c r="BJ84" s="5" t="n"/>
      <c r="BK84" s="42" t="n"/>
    </row>
    <row r="85" ht="60" customHeight="1">
      <c r="A85" s="61" t="inlineStr">
        <is>
          <t>UAT-WEB-079</t>
        </is>
      </c>
      <c r="B85" s="6" t="n"/>
      <c r="C85" s="62" t="inlineStr">
        <is>
          <t>Quản trị viên tenant</t>
        </is>
      </c>
      <c r="D85" s="5" t="n"/>
      <c r="E85" s="5" t="n"/>
      <c r="F85" s="6" t="n"/>
      <c r="G85" s="62" t="inlineStr">
        <is>
          <t>Xóa người dùng</t>
        </is>
      </c>
      <c r="H85" s="5" t="n"/>
      <c r="I85" s="6" t="n"/>
      <c r="J85" s="62" t="inlineStr">
        <is>
          <t>Xóa người dùng thành công</t>
        </is>
      </c>
      <c r="K85" s="5" t="n"/>
      <c r="L85" s="6" t="n"/>
      <c r="M85" s="62" t="inlineStr">
        <is>
          <t>Có người dùng ở trạng thái "利用中".</t>
        </is>
      </c>
      <c r="N85" s="5" t="n"/>
      <c r="O85" s="5" t="n"/>
      <c r="P85" s="5" t="n"/>
      <c r="Q85" s="6" t="n"/>
      <c r="R85" s="62" t="inlineStr">
        <is>
          <t>① Mở chi tiết người dùng
② Nhấn "削除"
③ Kiểm tra popup</t>
        </is>
      </c>
      <c r="S85" s="5" t="n"/>
      <c r="T85" s="5" t="n"/>
      <c r="U85" s="5" t="n"/>
      <c r="V85" s="5" t="n"/>
      <c r="W85" s="5" t="n"/>
      <c r="X85" s="6" t="n"/>
      <c r="Y85" s="62" t="inlineStr">
        <is>
          <t>Trạng thái người dùng chuyển thành "削除済み" và người dùng không thể đăng nhập app. Dữ liệu vẫn còn trong database.</t>
        </is>
      </c>
      <c r="Z85" s="5" t="n"/>
      <c r="AA85" s="5" t="n"/>
      <c r="AB85" s="5" t="n"/>
      <c r="AC85" s="5" t="n"/>
      <c r="AD85" s="6" t="n"/>
      <c r="AE85" s="63" t="inlineStr">
        <is>
          <t>H</t>
        </is>
      </c>
      <c r="AF85" s="6" t="n"/>
      <c r="AG85" s="63" t="n"/>
      <c r="AH85" s="6" t="n"/>
      <c r="AI85" s="63" t="n"/>
      <c r="AJ85" s="6" t="n"/>
      <c r="AK85" s="63" t="n"/>
      <c r="AL85" s="6" t="n"/>
      <c r="AM85" s="63" t="n"/>
      <c r="AN85" s="5" t="n"/>
      <c r="AO85" s="6" t="n"/>
      <c r="AP85" s="63" t="n"/>
      <c r="AQ85" s="6" t="n"/>
      <c r="AR85" s="62" t="n"/>
      <c r="AS85" s="5" t="n"/>
      <c r="AT85" s="6" t="n"/>
      <c r="AU85" s="63" t="n"/>
      <c r="AV85" s="6" t="n"/>
      <c r="AW85" s="63" t="n"/>
      <c r="AX85" s="6" t="n"/>
      <c r="AY85" s="63" t="n"/>
      <c r="AZ85" s="6" t="n"/>
      <c r="BA85" s="63" t="n"/>
      <c r="BB85" s="5" t="n"/>
      <c r="BC85" s="6" t="n"/>
      <c r="BD85" s="63" t="n"/>
      <c r="BE85" s="6" t="n"/>
      <c r="BF85" s="62" t="n"/>
      <c r="BG85" s="5" t="n"/>
      <c r="BH85" s="6" t="n"/>
      <c r="BI85" s="64" t="n"/>
      <c r="BJ85" s="5" t="n"/>
      <c r="BK85" s="42" t="n"/>
    </row>
    <row r="86" ht="75" customHeight="1">
      <c r="A86" s="65" t="inlineStr">
        <is>
          <t>UAT-WEB-080</t>
        </is>
      </c>
      <c r="B86" s="6" t="n"/>
      <c r="C86" s="66" t="inlineStr">
        <is>
          <t>Quản trị viên tenant</t>
        </is>
      </c>
      <c r="D86" s="5" t="n"/>
      <c r="E86" s="5" t="n"/>
      <c r="F86" s="6" t="n"/>
      <c r="G86" s="66" t="inlineStr">
        <is>
          <t>Xóa người dùng</t>
        </is>
      </c>
      <c r="H86" s="5" t="n"/>
      <c r="I86" s="6" t="n"/>
      <c r="J86" s="66" t="inlineStr">
        <is>
          <t>Kiểm tra người dùng "削除済み" vẫn tiếp tục hiển thị trong danh sách</t>
        </is>
      </c>
      <c r="K86" s="5" t="n"/>
      <c r="L86" s="6" t="n"/>
      <c r="M86" s="66" t="inlineStr">
        <is>
          <t>Người dùng đã được xóa ở TA-D01.</t>
        </is>
      </c>
      <c r="N86" s="5" t="n"/>
      <c r="O86" s="5" t="n"/>
      <c r="P86" s="5" t="n"/>
      <c r="Q86" s="6" t="n"/>
      <c r="R86" s="66" t="inlineStr">
        <is>
          <t>① Hiển thị danh sách người dùng
② Tìm kiếm người dùng đã xóa</t>
        </is>
      </c>
      <c r="S86" s="5" t="n"/>
      <c r="T86" s="5" t="n"/>
      <c r="U86" s="5" t="n"/>
      <c r="V86" s="5" t="n"/>
      <c r="W86" s="5" t="n"/>
      <c r="X86" s="6" t="n"/>
      <c r="Y86" s="66" t="inlineStr">
        <is>
          <t>Người dùng "削除済み" vẫn tiếp tục hiển thị trong danh sách; có thể xem thông tin nhưng không thể chỉnh sửa lại hoặc xóa lại.</t>
        </is>
      </c>
      <c r="Z86" s="5" t="n"/>
      <c r="AA86" s="5" t="n"/>
      <c r="AB86" s="5" t="n"/>
      <c r="AC86" s="5" t="n"/>
      <c r="AD86" s="6" t="n"/>
      <c r="AE86" s="67" t="inlineStr">
        <is>
          <t>H</t>
        </is>
      </c>
      <c r="AF86" s="6" t="n"/>
      <c r="AG86" s="67" t="n"/>
      <c r="AH86" s="6" t="n"/>
      <c r="AI86" s="67" t="n"/>
      <c r="AJ86" s="6" t="n"/>
      <c r="AK86" s="67" t="n"/>
      <c r="AL86" s="6" t="n"/>
      <c r="AM86" s="67" t="n"/>
      <c r="AN86" s="5" t="n"/>
      <c r="AO86" s="6" t="n"/>
      <c r="AP86" s="67" t="n"/>
      <c r="AQ86" s="6" t="n"/>
      <c r="AR86" s="66" t="n"/>
      <c r="AS86" s="5" t="n"/>
      <c r="AT86" s="6" t="n"/>
      <c r="AU86" s="67" t="n"/>
      <c r="AV86" s="6" t="n"/>
      <c r="AW86" s="67" t="n"/>
      <c r="AX86" s="6" t="n"/>
      <c r="AY86" s="67" t="n"/>
      <c r="AZ86" s="6" t="n"/>
      <c r="BA86" s="67" t="n"/>
      <c r="BB86" s="5" t="n"/>
      <c r="BC86" s="6" t="n"/>
      <c r="BD86" s="67" t="n"/>
      <c r="BE86" s="6" t="n"/>
      <c r="BF86" s="66" t="n"/>
      <c r="BG86" s="5" t="n"/>
      <c r="BH86" s="6" t="n"/>
      <c r="BI86" s="68" t="n"/>
      <c r="BJ86" s="5" t="n"/>
      <c r="BK86" s="42" t="n"/>
    </row>
    <row r="87" ht="105" customHeight="1">
      <c r="A87" s="61" t="inlineStr">
        <is>
          <t>UAT-WEB-081</t>
        </is>
      </c>
      <c r="B87" s="6" t="n"/>
      <c r="C87" s="62" t="inlineStr">
        <is>
          <t>Quản trị viên tenant</t>
        </is>
      </c>
      <c r="D87" s="5" t="n"/>
      <c r="E87" s="5" t="n"/>
      <c r="F87" s="6" t="n"/>
      <c r="G87" s="62" t="inlineStr">
        <is>
          <t>Xóa người dùng</t>
        </is>
      </c>
      <c r="H87" s="5" t="n"/>
      <c r="I87" s="6" t="n"/>
      <c r="J87" s="62" t="inlineStr">
        <is>
          <t>Tài khoản SIP được xóa khỏi MVE sau khi Okada Denki thực hiện bảo trì</t>
        </is>
      </c>
      <c r="K87" s="5" t="n"/>
      <c r="L87" s="6" t="n"/>
      <c r="M87" s="62" t="inlineStr">
        <is>
          <t>Trạng thái người dùng là "削除済み". Quản trị viên Okada Denki đã xuất CSV từ màn hình quản trị web, import vào MVE và kết thúc bảo trì.</t>
        </is>
      </c>
      <c r="N87" s="5" t="n"/>
      <c r="O87" s="5" t="n"/>
      <c r="P87" s="5" t="n"/>
      <c r="Q87" s="6" t="n"/>
      <c r="R87" s="62" t="inlineStr">
        <is>
          <t>① Xác nhận với Okada Denki rằng quy trình bảo trì đã hoàn tất
② Kiểm tra trạng thái SIP</t>
        </is>
      </c>
      <c r="S87" s="5" t="n"/>
      <c r="T87" s="5" t="n"/>
      <c r="U87" s="5" t="n"/>
      <c r="V87" s="5" t="n"/>
      <c r="W87" s="5" t="n"/>
      <c r="X87" s="6" t="n"/>
      <c r="Y87" s="62" t="inlineStr">
        <is>
          <t>Tài khoản SIP bị xóa khỏi hệ thống MVE. Thông tin SIP trong database quản trị cũng bị xóa (trên màn hình danh sách người dùng, thông tin SIP không còn liên kết với người dùng đã xóa).</t>
        </is>
      </c>
      <c r="Z87" s="5" t="n"/>
      <c r="AA87" s="5" t="n"/>
      <c r="AB87" s="5" t="n"/>
      <c r="AC87" s="5" t="n"/>
      <c r="AD87" s="6" t="n"/>
      <c r="AE87" s="63" t="inlineStr">
        <is>
          <t>H</t>
        </is>
      </c>
      <c r="AF87" s="6" t="n"/>
      <c r="AG87" s="63" t="n"/>
      <c r="AH87" s="6" t="n"/>
      <c r="AI87" s="63" t="n"/>
      <c r="AJ87" s="6" t="n"/>
      <c r="AK87" s="63" t="n"/>
      <c r="AL87" s="6" t="n"/>
      <c r="AM87" s="63" t="n"/>
      <c r="AN87" s="5" t="n"/>
      <c r="AO87" s="6" t="n"/>
      <c r="AP87" s="63" t="n"/>
      <c r="AQ87" s="6" t="n"/>
      <c r="AR87" s="62" t="n"/>
      <c r="AS87" s="5" t="n"/>
      <c r="AT87" s="6" t="n"/>
      <c r="AU87" s="63" t="n"/>
      <c r="AV87" s="6" t="n"/>
      <c r="AW87" s="63" t="n"/>
      <c r="AX87" s="6" t="n"/>
      <c r="AY87" s="63" t="n"/>
      <c r="AZ87" s="6" t="n"/>
      <c r="BA87" s="63" t="n"/>
      <c r="BB87" s="5" t="n"/>
      <c r="BC87" s="6" t="n"/>
      <c r="BD87" s="63" t="n"/>
      <c r="BE87" s="6" t="n"/>
      <c r="BF87" s="62" t="n"/>
      <c r="BG87" s="5" t="n"/>
      <c r="BH87" s="6" t="n"/>
      <c r="BI87" s="64" t="n"/>
      <c r="BJ87" s="5" t="n"/>
      <c r="BK87" s="42" t="n"/>
    </row>
    <row r="88" ht="45" customHeight="1">
      <c r="A88" s="65" t="inlineStr">
        <is>
          <t>UAT-WEB-082</t>
        </is>
      </c>
      <c r="B88" s="6" t="n"/>
      <c r="C88" s="66" t="inlineStr">
        <is>
          <t>Quản trị viên Okada Denki</t>
        </is>
      </c>
      <c r="D88" s="5" t="n"/>
      <c r="E88" s="5" t="n"/>
      <c r="F88" s="6" t="n"/>
      <c r="G88" s="66" t="inlineStr">
        <is>
          <t>Đăng nhập và bảo mật</t>
        </is>
      </c>
      <c r="H88" s="5" t="n"/>
      <c r="I88" s="6" t="n"/>
      <c r="J88" s="66" t="inlineStr">
        <is>
          <t>Quản trị viên Okada Denki đăng nhập thành công (IP whitelist)</t>
        </is>
      </c>
      <c r="K88" s="5" t="n"/>
      <c r="L88" s="6" t="n"/>
      <c r="M88" s="66" t="inlineStr">
        <is>
          <t>Tài khoản quản trị viên Okada Denki hợp lệ. IP nằm trong whitelist.</t>
        </is>
      </c>
      <c r="N88" s="5" t="n"/>
      <c r="O88" s="5" t="n"/>
      <c r="P88" s="5" t="n"/>
      <c r="Q88" s="6" t="n"/>
      <c r="R88" s="66" t="inlineStr">
        <is>
          <t>① Truy cập URL đăng nhập
② Nhập email và mật khẩu
③ Nhấn "ログイン"</t>
        </is>
      </c>
      <c r="S88" s="5" t="n"/>
      <c r="T88" s="5" t="n"/>
      <c r="U88" s="5" t="n"/>
      <c r="V88" s="5" t="n"/>
      <c r="W88" s="5" t="n"/>
      <c r="X88" s="6" t="n"/>
      <c r="Y88" s="66" t="inlineStr">
        <is>
          <t>Chuyển trực tiếp đến màn hình quản lý Okada Denki và màn hình OTP không hiển thị.</t>
        </is>
      </c>
      <c r="Z88" s="5" t="n"/>
      <c r="AA88" s="5" t="n"/>
      <c r="AB88" s="5" t="n"/>
      <c r="AC88" s="5" t="n"/>
      <c r="AD88" s="6" t="n"/>
      <c r="AE88" s="67" t="inlineStr">
        <is>
          <t>H</t>
        </is>
      </c>
      <c r="AF88" s="6" t="n"/>
      <c r="AG88" s="67" t="n"/>
      <c r="AH88" s="6" t="n"/>
      <c r="AI88" s="67" t="n"/>
      <c r="AJ88" s="6" t="n"/>
      <c r="AK88" s="67" t="n"/>
      <c r="AL88" s="6" t="n"/>
      <c r="AM88" s="67" t="n"/>
      <c r="AN88" s="5" t="n"/>
      <c r="AO88" s="6" t="n"/>
      <c r="AP88" s="67" t="n"/>
      <c r="AQ88" s="6" t="n"/>
      <c r="AR88" s="66" t="n"/>
      <c r="AS88" s="5" t="n"/>
      <c r="AT88" s="6" t="n"/>
      <c r="AU88" s="67" t="n"/>
      <c r="AV88" s="6" t="n"/>
      <c r="AW88" s="67" t="n"/>
      <c r="AX88" s="6" t="n"/>
      <c r="AY88" s="67" t="n"/>
      <c r="AZ88" s="6" t="n"/>
      <c r="BA88" s="67" t="n"/>
      <c r="BB88" s="5" t="n"/>
      <c r="BC88" s="6" t="n"/>
      <c r="BD88" s="67" t="n"/>
      <c r="BE88" s="6" t="n"/>
      <c r="BF88" s="66" t="n"/>
      <c r="BG88" s="5" t="n"/>
      <c r="BH88" s="6" t="n"/>
      <c r="BI88" s="68" t="n"/>
      <c r="BJ88" s="5" t="n"/>
      <c r="BK88" s="42" t="n"/>
    </row>
    <row r="89" ht="45" customHeight="1">
      <c r="A89" s="61" t="inlineStr">
        <is>
          <t>UAT-WEB-083</t>
        </is>
      </c>
      <c r="B89" s="6" t="n"/>
      <c r="C89" s="62" t="inlineStr">
        <is>
          <t>Quản trị viên Okada Denki</t>
        </is>
      </c>
      <c r="D89" s="5" t="n"/>
      <c r="E89" s="5" t="n"/>
      <c r="F89" s="6" t="n"/>
      <c r="G89" s="62" t="inlineStr">
        <is>
          <t>Đăng nhập và bảo mật</t>
        </is>
      </c>
      <c r="H89" s="5" t="n"/>
      <c r="I89" s="6" t="n"/>
      <c r="J89" s="62" t="inlineStr">
        <is>
          <t>Đăng nhập thất bại - IP ngoài whitelist (quản trị viên hệ thống/Okada Denki)</t>
        </is>
      </c>
      <c r="K89" s="5" t="n"/>
      <c r="L89" s="6" t="n"/>
      <c r="M89" s="62" t="inlineStr">
        <is>
          <t>IP hiện tại chưa được đăng ký trong whitelist.</t>
        </is>
      </c>
      <c r="N89" s="5" t="n"/>
      <c r="O89" s="5" t="n"/>
      <c r="P89" s="5" t="n"/>
      <c r="Q89" s="6" t="n"/>
      <c r="R89" s="62" t="inlineStr">
        <is>
          <t>① Nhập thông tin đăng nhập hợp lệ của quản trị viên hệ thống
② Nhấn "ログイン"</t>
        </is>
      </c>
      <c r="S89" s="5" t="n"/>
      <c r="T89" s="5" t="n"/>
      <c r="U89" s="5" t="n"/>
      <c r="V89" s="5" t="n"/>
      <c r="W89" s="5" t="n"/>
      <c r="X89" s="6" t="n"/>
      <c r="Y89" s="62" t="inlineStr">
        <is>
          <t>Thông báo lỗi IP không được phép hiển thị và truy cập bị từ chối.</t>
        </is>
      </c>
      <c r="Z89" s="5" t="n"/>
      <c r="AA89" s="5" t="n"/>
      <c r="AB89" s="5" t="n"/>
      <c r="AC89" s="5" t="n"/>
      <c r="AD89" s="6" t="n"/>
      <c r="AE89" s="63" t="inlineStr">
        <is>
          <t>H</t>
        </is>
      </c>
      <c r="AF89" s="6" t="n"/>
      <c r="AG89" s="63" t="n"/>
      <c r="AH89" s="6" t="n"/>
      <c r="AI89" s="63" t="n"/>
      <c r="AJ89" s="6" t="n"/>
      <c r="AK89" s="63" t="n"/>
      <c r="AL89" s="6" t="n"/>
      <c r="AM89" s="63" t="n"/>
      <c r="AN89" s="5" t="n"/>
      <c r="AO89" s="6" t="n"/>
      <c r="AP89" s="63" t="n"/>
      <c r="AQ89" s="6" t="n"/>
      <c r="AR89" s="62" t="n"/>
      <c r="AS89" s="5" t="n"/>
      <c r="AT89" s="6" t="n"/>
      <c r="AU89" s="63" t="n"/>
      <c r="AV89" s="6" t="n"/>
      <c r="AW89" s="63" t="n"/>
      <c r="AX89" s="6" t="n"/>
      <c r="AY89" s="63" t="n"/>
      <c r="AZ89" s="6" t="n"/>
      <c r="BA89" s="63" t="n"/>
      <c r="BB89" s="5" t="n"/>
      <c r="BC89" s="6" t="n"/>
      <c r="BD89" s="63" t="n"/>
      <c r="BE89" s="6" t="n"/>
      <c r="BF89" s="62" t="n"/>
      <c r="BG89" s="5" t="n"/>
      <c r="BH89" s="6" t="n"/>
      <c r="BI89" s="64" t="n"/>
      <c r="BJ89" s="5" t="n"/>
      <c r="BK89" s="42" t="n"/>
    </row>
    <row r="90" ht="30" customHeight="1">
      <c r="A90" s="65" t="inlineStr">
        <is>
          <t>UAT-WEB-084</t>
        </is>
      </c>
      <c r="B90" s="6" t="n"/>
      <c r="C90" s="66" t="inlineStr">
        <is>
          <t>Quản trị viên Okada Denki</t>
        </is>
      </c>
      <c r="D90" s="5" t="n"/>
      <c r="E90" s="5" t="n"/>
      <c r="F90" s="6" t="n"/>
      <c r="G90" s="66" t="inlineStr">
        <is>
          <t>Quản lý tên nhóm IP của tenant</t>
        </is>
      </c>
      <c r="H90" s="5" t="n"/>
      <c r="I90" s="6" t="n"/>
      <c r="J90" s="66" t="inlineStr">
        <is>
          <t>Tìm kiếm tenant theo tenant ID</t>
        </is>
      </c>
      <c r="K90" s="5" t="n"/>
      <c r="L90" s="6" t="n"/>
      <c r="M90" s="66" t="inlineStr">
        <is>
          <t>Trong danh sách có ít nhất 2 tenant.</t>
        </is>
      </c>
      <c r="N90" s="5" t="n"/>
      <c r="O90" s="5" t="n"/>
      <c r="P90" s="5" t="n"/>
      <c r="Q90" s="6" t="n"/>
      <c r="R90" s="66" t="inlineStr">
        <is>
          <t>① Nhập mã tenant vào ô tenant ID
② Nhấn "検索"</t>
        </is>
      </c>
      <c r="S90" s="5" t="n"/>
      <c r="T90" s="5" t="n"/>
      <c r="U90" s="5" t="n"/>
      <c r="V90" s="5" t="n"/>
      <c r="W90" s="5" t="n"/>
      <c r="X90" s="6" t="n"/>
      <c r="Y90" s="66" t="inlineStr">
        <is>
          <t>Tenant khớp với ID được lọc đúng.</t>
        </is>
      </c>
      <c r="Z90" s="5" t="n"/>
      <c r="AA90" s="5" t="n"/>
      <c r="AB90" s="5" t="n"/>
      <c r="AC90" s="5" t="n"/>
      <c r="AD90" s="6" t="n"/>
      <c r="AE90" s="67" t="inlineStr">
        <is>
          <t>M</t>
        </is>
      </c>
      <c r="AF90" s="6" t="n"/>
      <c r="AG90" s="67" t="n"/>
      <c r="AH90" s="6" t="n"/>
      <c r="AI90" s="67" t="n"/>
      <c r="AJ90" s="6" t="n"/>
      <c r="AK90" s="67" t="n"/>
      <c r="AL90" s="6" t="n"/>
      <c r="AM90" s="67" t="n"/>
      <c r="AN90" s="5" t="n"/>
      <c r="AO90" s="6" t="n"/>
      <c r="AP90" s="67" t="n"/>
      <c r="AQ90" s="6" t="n"/>
      <c r="AR90" s="66" t="n"/>
      <c r="AS90" s="5" t="n"/>
      <c r="AT90" s="6" t="n"/>
      <c r="AU90" s="67" t="n"/>
      <c r="AV90" s="6" t="n"/>
      <c r="AW90" s="67" t="n"/>
      <c r="AX90" s="6" t="n"/>
      <c r="AY90" s="67" t="n"/>
      <c r="AZ90" s="6" t="n"/>
      <c r="BA90" s="67" t="n"/>
      <c r="BB90" s="5" t="n"/>
      <c r="BC90" s="6" t="n"/>
      <c r="BD90" s="67" t="n"/>
      <c r="BE90" s="6" t="n"/>
      <c r="BF90" s="66" t="n"/>
      <c r="BG90" s="5" t="n"/>
      <c r="BH90" s="6" t="n"/>
      <c r="BI90" s="68" t="n"/>
      <c r="BJ90" s="5" t="n"/>
      <c r="BK90" s="42" t="n"/>
    </row>
    <row r="91" ht="45" customHeight="1">
      <c r="A91" s="61" t="inlineStr">
        <is>
          <t>UAT-WEB-085</t>
        </is>
      </c>
      <c r="B91" s="6" t="n"/>
      <c r="C91" s="62" t="inlineStr">
        <is>
          <t>Quản trị viên Okada Denki</t>
        </is>
      </c>
      <c r="D91" s="5" t="n"/>
      <c r="E91" s="5" t="n"/>
      <c r="F91" s="6" t="n"/>
      <c r="G91" s="62" t="inlineStr">
        <is>
          <t>Quản lý tên nhóm IP của tenant</t>
        </is>
      </c>
      <c r="H91" s="5" t="n"/>
      <c r="I91" s="6" t="n"/>
      <c r="J91" s="62" t="inlineStr">
        <is>
          <t>Tìm kiếm tenant theo tên nhóm IP</t>
        </is>
      </c>
      <c r="K91" s="5" t="n"/>
      <c r="L91" s="6" t="n"/>
      <c r="M91" s="62" t="inlineStr">
        <is>
          <t>Tồn tại tenant đã được gán tên nhóm IP.</t>
        </is>
      </c>
      <c r="N91" s="5" t="n"/>
      <c r="O91" s="5" t="n"/>
      <c r="P91" s="5" t="n"/>
      <c r="Q91" s="6" t="n"/>
      <c r="R91" s="62" t="inlineStr">
        <is>
          <t>① Nhập một phần tên nhóm IP vào ô tên nhóm IP
② Nhấn "検索"</t>
        </is>
      </c>
      <c r="S91" s="5" t="n"/>
      <c r="T91" s="5" t="n"/>
      <c r="U91" s="5" t="n"/>
      <c r="V91" s="5" t="n"/>
      <c r="W91" s="5" t="n"/>
      <c r="X91" s="6" t="n"/>
      <c r="Y91" s="62" t="inlineStr">
        <is>
          <t>Tenant có tên nhóm IP khớp được hiển thị đúng.</t>
        </is>
      </c>
      <c r="Z91" s="5" t="n"/>
      <c r="AA91" s="5" t="n"/>
      <c r="AB91" s="5" t="n"/>
      <c r="AC91" s="5" t="n"/>
      <c r="AD91" s="6" t="n"/>
      <c r="AE91" s="63" t="inlineStr">
        <is>
          <t>M</t>
        </is>
      </c>
      <c r="AF91" s="6" t="n"/>
      <c r="AG91" s="63" t="n"/>
      <c r="AH91" s="6" t="n"/>
      <c r="AI91" s="63" t="n"/>
      <c r="AJ91" s="6" t="n"/>
      <c r="AK91" s="63" t="n"/>
      <c r="AL91" s="6" t="n"/>
      <c r="AM91" s="63" t="n"/>
      <c r="AN91" s="5" t="n"/>
      <c r="AO91" s="6" t="n"/>
      <c r="AP91" s="63" t="n"/>
      <c r="AQ91" s="6" t="n"/>
      <c r="AR91" s="62" t="n"/>
      <c r="AS91" s="5" t="n"/>
      <c r="AT91" s="6" t="n"/>
      <c r="AU91" s="63" t="n"/>
      <c r="AV91" s="6" t="n"/>
      <c r="AW91" s="63" t="n"/>
      <c r="AX91" s="6" t="n"/>
      <c r="AY91" s="63" t="n"/>
      <c r="AZ91" s="6" t="n"/>
      <c r="BA91" s="63" t="n"/>
      <c r="BB91" s="5" t="n"/>
      <c r="BC91" s="6" t="n"/>
      <c r="BD91" s="63" t="n"/>
      <c r="BE91" s="6" t="n"/>
      <c r="BF91" s="62" t="n"/>
      <c r="BG91" s="5" t="n"/>
      <c r="BH91" s="6" t="n"/>
      <c r="BI91" s="64" t="n"/>
      <c r="BJ91" s="5" t="n"/>
      <c r="BK91" s="42" t="n"/>
    </row>
    <row r="92" ht="45" customHeight="1">
      <c r="A92" s="65" t="inlineStr">
        <is>
          <t>UAT-WEB-086</t>
        </is>
      </c>
      <c r="B92" s="6" t="n"/>
      <c r="C92" s="66" t="inlineStr">
        <is>
          <t>Quản trị viên Okada Denki</t>
        </is>
      </c>
      <c r="D92" s="5" t="n"/>
      <c r="E92" s="5" t="n"/>
      <c r="F92" s="6" t="n"/>
      <c r="G92" s="66" t="inlineStr">
        <is>
          <t>Quản lý tên nhóm IP của tenant</t>
        </is>
      </c>
      <c r="H92" s="5" t="n"/>
      <c r="I92" s="6" t="n"/>
      <c r="J92" s="66" t="inlineStr">
        <is>
          <t>Kiểm tra tenant "登録待ち" được ưu tiên hiển thị đầu danh sách</t>
        </is>
      </c>
      <c r="K92" s="5" t="n"/>
      <c r="L92" s="6" t="n"/>
      <c r="M92" s="66" t="inlineStr">
        <is>
          <t>Tồn tại tenant ở nhiều trạng thái (登録待ち, 利用中).</t>
        </is>
      </c>
      <c r="N92" s="5" t="n"/>
      <c r="O92" s="5" t="n"/>
      <c r="P92" s="5" t="n"/>
      <c r="Q92" s="6" t="n"/>
      <c r="R92" s="66" t="inlineStr">
        <is>
          <t>① Kiểm tra danh sách tenant mà không áp dụng bộ lọc</t>
        </is>
      </c>
      <c r="S92" s="5" t="n"/>
      <c r="T92" s="5" t="n"/>
      <c r="U92" s="5" t="n"/>
      <c r="V92" s="5" t="n"/>
      <c r="W92" s="5" t="n"/>
      <c r="X92" s="6" t="n"/>
      <c r="Y92" s="66" t="inlineStr">
        <is>
          <t>Tenant ở trạng thái "登録待ち" luôn hiển thị ở đầu danh sách.</t>
        </is>
      </c>
      <c r="Z92" s="5" t="n"/>
      <c r="AA92" s="5" t="n"/>
      <c r="AB92" s="5" t="n"/>
      <c r="AC92" s="5" t="n"/>
      <c r="AD92" s="6" t="n"/>
      <c r="AE92" s="67" t="inlineStr">
        <is>
          <t>M</t>
        </is>
      </c>
      <c r="AF92" s="6" t="n"/>
      <c r="AG92" s="67" t="n"/>
      <c r="AH92" s="6" t="n"/>
      <c r="AI92" s="67" t="n"/>
      <c r="AJ92" s="6" t="n"/>
      <c r="AK92" s="67" t="n"/>
      <c r="AL92" s="6" t="n"/>
      <c r="AM92" s="67" t="n"/>
      <c r="AN92" s="5" t="n"/>
      <c r="AO92" s="6" t="n"/>
      <c r="AP92" s="67" t="n"/>
      <c r="AQ92" s="6" t="n"/>
      <c r="AR92" s="66" t="n"/>
      <c r="AS92" s="5" t="n"/>
      <c r="AT92" s="6" t="n"/>
      <c r="AU92" s="67" t="n"/>
      <c r="AV92" s="6" t="n"/>
      <c r="AW92" s="67" t="n"/>
      <c r="AX92" s="6" t="n"/>
      <c r="AY92" s="67" t="n"/>
      <c r="AZ92" s="6" t="n"/>
      <c r="BA92" s="67" t="n"/>
      <c r="BB92" s="5" t="n"/>
      <c r="BC92" s="6" t="n"/>
      <c r="BD92" s="67" t="n"/>
      <c r="BE92" s="6" t="n"/>
      <c r="BF92" s="66" t="n"/>
      <c r="BG92" s="5" t="n"/>
      <c r="BH92" s="6" t="n"/>
      <c r="BI92" s="68" t="n"/>
      <c r="BJ92" s="5" t="n"/>
      <c r="BK92" s="42" t="n"/>
    </row>
    <row r="93" ht="210" customHeight="1">
      <c r="A93" s="61" t="inlineStr">
        <is>
          <t>UAT-WEB-087</t>
        </is>
      </c>
      <c r="B93" s="6" t="n"/>
      <c r="C93" s="62" t="inlineStr">
        <is>
          <t>Quản trị viên Okada Denki</t>
        </is>
      </c>
      <c r="D93" s="5" t="n"/>
      <c r="E93" s="5" t="n"/>
      <c r="F93" s="6" t="n"/>
      <c r="G93" s="62" t="inlineStr">
        <is>
          <t>Quản lý tên nhóm IP của tenant</t>
        </is>
      </c>
      <c r="H93" s="5" t="n"/>
      <c r="I93" s="6" t="n"/>
      <c r="J93" s="62" t="inlineStr">
        <is>
          <t>Xác nhận hoàn tất tạo tên nhóm IP cho tenant "登録待ち"</t>
        </is>
      </c>
      <c r="K93" s="5" t="n"/>
      <c r="L93" s="6" t="n"/>
      <c r="M93" s="62" t="inlineStr">
        <is>
          <t>Tenant ở trạng thái "登録待ち". Tên nhóm IP đã được thiết lập trên MVE server (ngoài màn hình quản trị web).</t>
        </is>
      </c>
      <c r="N93" s="5" t="n"/>
      <c r="O93" s="5" t="n"/>
      <c r="P93" s="5" t="n"/>
      <c r="Q93" s="6" t="n"/>
      <c r="R93" s="62" t="inlineStr">
        <is>
          <t>① Chọn checkbox của tenant "登録待ち"
② Nhấn "IPグループ名作成完了"
③ Kiểm tra popup</t>
        </is>
      </c>
      <c r="S93" s="5" t="n"/>
      <c r="T93" s="5" t="n"/>
      <c r="U93" s="5" t="n"/>
      <c r="V93" s="5" t="n"/>
      <c r="W93" s="5" t="n"/>
      <c r="X93" s="6" t="n"/>
      <c r="Y93" s="62" t="inlineStr">
        <is>
          <t>- Trạng thái tenant chuyển thành "利用中".
- Hệ thống gọi MVE API và đăng ký người dùng ở trạng thái "登録待ち".
- Khi MVE API thành công, trạng thái người dùng chuyển từ "登録待ち" sang "登録済み".
- Khi API thất bại, trạng thái người dùng vẫn giữ là "登録待ち".
- Email thông báo kết quả được tự động gửi cho quản trị viên hệ thống.</t>
        </is>
      </c>
      <c r="Z93" s="5" t="n"/>
      <c r="AA93" s="5" t="n"/>
      <c r="AB93" s="5" t="n"/>
      <c r="AC93" s="5" t="n"/>
      <c r="AD93" s="6" t="n"/>
      <c r="AE93" s="63" t="inlineStr">
        <is>
          <t>H</t>
        </is>
      </c>
      <c r="AF93" s="6" t="n"/>
      <c r="AG93" s="63" t="n"/>
      <c r="AH93" s="6" t="n"/>
      <c r="AI93" s="63" t="n"/>
      <c r="AJ93" s="6" t="n"/>
      <c r="AK93" s="63" t="n"/>
      <c r="AL93" s="6" t="n"/>
      <c r="AM93" s="63" t="n"/>
      <c r="AN93" s="5" t="n"/>
      <c r="AO93" s="6" t="n"/>
      <c r="AP93" s="63" t="n"/>
      <c r="AQ93" s="6" t="n"/>
      <c r="AR93" s="62" t="n"/>
      <c r="AS93" s="5" t="n"/>
      <c r="AT93" s="6" t="n"/>
      <c r="AU93" s="63" t="n"/>
      <c r="AV93" s="6" t="n"/>
      <c r="AW93" s="63" t="n"/>
      <c r="AX93" s="6" t="n"/>
      <c r="AY93" s="63" t="n"/>
      <c r="AZ93" s="6" t="n"/>
      <c r="BA93" s="63" t="n"/>
      <c r="BB93" s="5" t="n"/>
      <c r="BC93" s="6" t="n"/>
      <c r="BD93" s="63" t="n"/>
      <c r="BE93" s="6" t="n"/>
      <c r="BF93" s="62" t="n"/>
      <c r="BG93" s="5" t="n"/>
      <c r="BH93" s="6" t="n"/>
      <c r="BI93" s="64" t="n"/>
      <c r="BJ93" s="5" t="n"/>
      <c r="BK93" s="42" t="n"/>
    </row>
    <row r="94" ht="45" customHeight="1">
      <c r="A94" s="65" t="inlineStr">
        <is>
          <t>UAT-WEB-088</t>
        </is>
      </c>
      <c r="B94" s="6" t="n"/>
      <c r="C94" s="66" t="inlineStr">
        <is>
          <t>Quản trị viên Okada Denki</t>
        </is>
      </c>
      <c r="D94" s="5" t="n"/>
      <c r="E94" s="5" t="n"/>
      <c r="F94" s="6" t="n"/>
      <c r="G94" s="66" t="inlineStr">
        <is>
          <t>Quản lý tên nhóm IP của tenant</t>
        </is>
      </c>
      <c r="H94" s="5" t="n"/>
      <c r="I94" s="6" t="n"/>
      <c r="J94" s="66" t="inlineStr">
        <is>
          <t>Xác nhận IPGroup - nút không khả dụng với tenant "利用中"</t>
        </is>
      </c>
      <c r="K94" s="5" t="n"/>
      <c r="L94" s="6" t="n"/>
      <c r="M94" s="66" t="inlineStr">
        <is>
          <t>Tenant ở trạng thái "利用中".</t>
        </is>
      </c>
      <c r="N94" s="5" t="n"/>
      <c r="O94" s="5" t="n"/>
      <c r="P94" s="5" t="n"/>
      <c r="Q94" s="6" t="n"/>
      <c r="R94" s="66" t="inlineStr">
        <is>
          <t>① Chọn checkbox của tenant "利用中"
② Kiểm tra nút "IPグループ名作成完了"</t>
        </is>
      </c>
      <c r="S94" s="5" t="n"/>
      <c r="T94" s="5" t="n"/>
      <c r="U94" s="5" t="n"/>
      <c r="V94" s="5" t="n"/>
      <c r="W94" s="5" t="n"/>
      <c r="X94" s="6" t="n"/>
      <c r="Y94" s="66" t="inlineStr">
        <is>
          <t>Nút này không áp dụng cho tenant "利用中". Điều kiện chỉ áp dụng cho "登録待ち".</t>
        </is>
      </c>
      <c r="Z94" s="5" t="n"/>
      <c r="AA94" s="5" t="n"/>
      <c r="AB94" s="5" t="n"/>
      <c r="AC94" s="5" t="n"/>
      <c r="AD94" s="6" t="n"/>
      <c r="AE94" s="67" t="inlineStr">
        <is>
          <t>H</t>
        </is>
      </c>
      <c r="AF94" s="6" t="n"/>
      <c r="AG94" s="67" t="n"/>
      <c r="AH94" s="6" t="n"/>
      <c r="AI94" s="67" t="n"/>
      <c r="AJ94" s="6" t="n"/>
      <c r="AK94" s="67" t="n"/>
      <c r="AL94" s="6" t="n"/>
      <c r="AM94" s="67" t="n"/>
      <c r="AN94" s="5" t="n"/>
      <c r="AO94" s="6" t="n"/>
      <c r="AP94" s="67" t="n"/>
      <c r="AQ94" s="6" t="n"/>
      <c r="AR94" s="66" t="n"/>
      <c r="AS94" s="5" t="n"/>
      <c r="AT94" s="6" t="n"/>
      <c r="AU94" s="67" t="n"/>
      <c r="AV94" s="6" t="n"/>
      <c r="AW94" s="67" t="n"/>
      <c r="AX94" s="6" t="n"/>
      <c r="AY94" s="67" t="n"/>
      <c r="AZ94" s="6" t="n"/>
      <c r="BA94" s="67" t="n"/>
      <c r="BB94" s="5" t="n"/>
      <c r="BC94" s="6" t="n"/>
      <c r="BD94" s="67" t="n"/>
      <c r="BE94" s="6" t="n"/>
      <c r="BF94" s="66" t="n"/>
      <c r="BG94" s="5" t="n"/>
      <c r="BH94" s="6" t="n"/>
      <c r="BI94" s="68" t="n"/>
      <c r="BJ94" s="5" t="n"/>
      <c r="BK94" s="42" t="n"/>
    </row>
    <row r="95" ht="60" customHeight="1">
      <c r="A95" s="61" t="inlineStr">
        <is>
          <t>UAT-WEB-089</t>
        </is>
      </c>
      <c r="B95" s="6" t="n"/>
      <c r="C95" s="62" t="inlineStr">
        <is>
          <t>Quản trị viên Okada Denki</t>
        </is>
      </c>
      <c r="D95" s="5" t="n"/>
      <c r="E95" s="5" t="n"/>
      <c r="F95" s="6" t="n"/>
      <c r="G95" s="62" t="inlineStr">
        <is>
          <t>Quản lý tên nhóm IP của tenant</t>
        </is>
      </c>
      <c r="H95" s="5" t="n"/>
      <c r="I95" s="6" t="n"/>
      <c r="J95" s="62" t="inlineStr">
        <is>
          <t>Xác nhận hàng loạt IPGroup của nhiều tenant</t>
        </is>
      </c>
      <c r="K95" s="5" t="n"/>
      <c r="L95" s="6" t="n"/>
      <c r="M95" s="62" t="inlineStr">
        <is>
          <t>Tồn tại ít nhất 2 tenant ở trạng thái "登録待ち" và cả hai đã được thiết lập IPGroup trên MVE.</t>
        </is>
      </c>
      <c r="N95" s="5" t="n"/>
      <c r="O95" s="5" t="n"/>
      <c r="P95" s="5" t="n"/>
      <c r="Q95" s="6" t="n"/>
      <c r="R95" s="62" t="inlineStr">
        <is>
          <t>① Chọn checkbox của cả 2 tenant
② Nhấn "IPグループ名作成完了" và xác nhận</t>
        </is>
      </c>
      <c r="S95" s="5" t="n"/>
      <c r="T95" s="5" t="n"/>
      <c r="U95" s="5" t="n"/>
      <c r="V95" s="5" t="n"/>
      <c r="W95" s="5" t="n"/>
      <c r="X95" s="6" t="n"/>
      <c r="Y95" s="62" t="inlineStr">
        <is>
          <t>Cả 2 tenant đều chuyển sang "利用中" và email thông báo được gửi cho quản trị viên hệ thống đối với từng tenant.</t>
        </is>
      </c>
      <c r="Z95" s="5" t="n"/>
      <c r="AA95" s="5" t="n"/>
      <c r="AB95" s="5" t="n"/>
      <c r="AC95" s="5" t="n"/>
      <c r="AD95" s="6" t="n"/>
      <c r="AE95" s="63" t="inlineStr">
        <is>
          <t>M</t>
        </is>
      </c>
      <c r="AF95" s="6" t="n"/>
      <c r="AG95" s="63" t="n"/>
      <c r="AH95" s="6" t="n"/>
      <c r="AI95" s="63" t="n"/>
      <c r="AJ95" s="6" t="n"/>
      <c r="AK95" s="63" t="n"/>
      <c r="AL95" s="6" t="n"/>
      <c r="AM95" s="63" t="n"/>
      <c r="AN95" s="5" t="n"/>
      <c r="AO95" s="6" t="n"/>
      <c r="AP95" s="63" t="n"/>
      <c r="AQ95" s="6" t="n"/>
      <c r="AR95" s="62" t="n"/>
      <c r="AS95" s="5" t="n"/>
      <c r="AT95" s="6" t="n"/>
      <c r="AU95" s="63" t="n"/>
      <c r="AV95" s="6" t="n"/>
      <c r="AW95" s="63" t="n"/>
      <c r="AX95" s="6" t="n"/>
      <c r="AY95" s="63" t="n"/>
      <c r="AZ95" s="6" t="n"/>
      <c r="BA95" s="63" t="n"/>
      <c r="BB95" s="5" t="n"/>
      <c r="BC95" s="6" t="n"/>
      <c r="BD95" s="63" t="n"/>
      <c r="BE95" s="6" t="n"/>
      <c r="BF95" s="62" t="n"/>
      <c r="BG95" s="5" t="n"/>
      <c r="BH95" s="6" t="n"/>
      <c r="BI95" s="64" t="n"/>
      <c r="BJ95" s="5" t="n"/>
      <c r="BK95" s="42" t="n"/>
    </row>
    <row r="96" ht="60" customHeight="1">
      <c r="A96" s="65" t="inlineStr">
        <is>
          <t>UAT-WEB-090</t>
        </is>
      </c>
      <c r="B96" s="6" t="n"/>
      <c r="C96" s="66" t="inlineStr">
        <is>
          <t>Quản trị viên Okada Denki</t>
        </is>
      </c>
      <c r="D96" s="5" t="n"/>
      <c r="E96" s="5" t="n"/>
      <c r="F96" s="6" t="n"/>
      <c r="G96" s="66" t="inlineStr">
        <is>
          <t>Bảo trì</t>
        </is>
      </c>
      <c r="H96" s="5" t="n"/>
      <c r="I96" s="6" t="n"/>
      <c r="J96" s="66" t="inlineStr">
        <is>
          <t>Hủy bảo trì khi nhấn "キャンセル" trên popup</t>
        </is>
      </c>
      <c r="K96" s="5" t="n"/>
      <c r="L96" s="6" t="n"/>
      <c r="M96" s="66" t="inlineStr">
        <is>
          <t>Đã nhấn "メンテナンス開始" và popup đang hiển thị.</t>
        </is>
      </c>
      <c r="N96" s="5" t="n"/>
      <c r="O96" s="5" t="n"/>
      <c r="P96" s="5" t="n"/>
      <c r="Q96" s="6" t="n"/>
      <c r="R96" s="66" t="inlineStr">
        <is>
          <t>① Nhấn nút "メンテナンス開始"
② Kiểm tra popup "メンテナンスを開始します。よろしいですか？"
③ Nhấn "キャンセル"</t>
        </is>
      </c>
      <c r="S96" s="5" t="n"/>
      <c r="T96" s="5" t="n"/>
      <c r="U96" s="5" t="n"/>
      <c r="V96" s="5" t="n"/>
      <c r="W96" s="5" t="n"/>
      <c r="X96" s="6" t="n"/>
      <c r="Y96" s="66" t="inlineStr">
        <is>
          <t>Popup đóng, bảo trì không bắt đầu và trạng thái hệ thống không thay đổi.</t>
        </is>
      </c>
      <c r="Z96" s="5" t="n"/>
      <c r="AA96" s="5" t="n"/>
      <c r="AB96" s="5" t="n"/>
      <c r="AC96" s="5" t="n"/>
      <c r="AD96" s="6" t="n"/>
      <c r="AE96" s="67" t="inlineStr">
        <is>
          <t>M</t>
        </is>
      </c>
      <c r="AF96" s="6" t="n"/>
      <c r="AG96" s="67" t="n"/>
      <c r="AH96" s="6" t="n"/>
      <c r="AI96" s="67" t="n"/>
      <c r="AJ96" s="6" t="n"/>
      <c r="AK96" s="67" t="n"/>
      <c r="AL96" s="6" t="n"/>
      <c r="AM96" s="67" t="n"/>
      <c r="AN96" s="5" t="n"/>
      <c r="AO96" s="6" t="n"/>
      <c r="AP96" s="67" t="n"/>
      <c r="AQ96" s="6" t="n"/>
      <c r="AR96" s="66" t="n"/>
      <c r="AS96" s="5" t="n"/>
      <c r="AT96" s="6" t="n"/>
      <c r="AU96" s="67" t="n"/>
      <c r="AV96" s="6" t="n"/>
      <c r="AW96" s="67" t="n"/>
      <c r="AX96" s="6" t="n"/>
      <c r="AY96" s="67" t="n"/>
      <c r="AZ96" s="6" t="n"/>
      <c r="BA96" s="67" t="n"/>
      <c r="BB96" s="5" t="n"/>
      <c r="BC96" s="6" t="n"/>
      <c r="BD96" s="67" t="n"/>
      <c r="BE96" s="6" t="n"/>
      <c r="BF96" s="66" t="n"/>
      <c r="BG96" s="5" t="n"/>
      <c r="BH96" s="6" t="n"/>
      <c r="BI96" s="68" t="n"/>
      <c r="BJ96" s="5" t="n"/>
      <c r="BK96" s="42" t="n"/>
    </row>
    <row r="97" ht="60" customHeight="1">
      <c r="A97" s="61" t="inlineStr">
        <is>
          <t>UAT-WEB-091</t>
        </is>
      </c>
      <c r="B97" s="6" t="n"/>
      <c r="C97" s="62" t="inlineStr">
        <is>
          <t>Quản trị viên Okada Denki</t>
        </is>
      </c>
      <c r="D97" s="5" t="n"/>
      <c r="E97" s="5" t="n"/>
      <c r="F97" s="6" t="n"/>
      <c r="G97" s="62" t="inlineStr">
        <is>
          <t>Bảo trì</t>
        </is>
      </c>
      <c r="H97" s="5" t="n"/>
      <c r="I97" s="6" t="n"/>
      <c r="J97" s="62" t="inlineStr">
        <is>
          <t>Bắt đầu bảo trì thành công</t>
        </is>
      </c>
      <c r="K97" s="5" t="n"/>
      <c r="L97" s="6" t="n"/>
      <c r="M97" s="62" t="inlineStr">
        <is>
          <t>Đã đăng nhập bằng quản trị viên Okada Denki. Dịch vụ đang hoạt động bình thường.</t>
        </is>
      </c>
      <c r="N97" s="5" t="n"/>
      <c r="O97" s="5" t="n"/>
      <c r="P97" s="5" t="n"/>
      <c r="Q97" s="6" t="n"/>
      <c r="R97" s="62" t="inlineStr">
        <is>
          <t>① Nhấn nút "メンテナンス開始"
② Kiểm tra popup "メンテナンスを開始します。よろしいですか？"
③ Nhấn "OK"</t>
        </is>
      </c>
      <c r="S97" s="5" t="n"/>
      <c r="T97" s="5" t="n"/>
      <c r="U97" s="5" t="n"/>
      <c r="V97" s="5" t="n"/>
      <c r="W97" s="5" t="n"/>
      <c r="X97" s="6" t="n"/>
      <c r="Y97" s="62" t="inlineStr">
        <is>
          <t>Nút "メンテナンス開始" bị ẩn và nút "メンテナンス終了" hiển thị.</t>
        </is>
      </c>
      <c r="Z97" s="5" t="n"/>
      <c r="AA97" s="5" t="n"/>
      <c r="AB97" s="5" t="n"/>
      <c r="AC97" s="5" t="n"/>
      <c r="AD97" s="6" t="n"/>
      <c r="AE97" s="63" t="inlineStr">
        <is>
          <t>H</t>
        </is>
      </c>
      <c r="AF97" s="6" t="n"/>
      <c r="AG97" s="63" t="n"/>
      <c r="AH97" s="6" t="n"/>
      <c r="AI97" s="63" t="n"/>
      <c r="AJ97" s="6" t="n"/>
      <c r="AK97" s="63" t="n"/>
      <c r="AL97" s="6" t="n"/>
      <c r="AM97" s="63" t="n"/>
      <c r="AN97" s="5" t="n"/>
      <c r="AO97" s="6" t="n"/>
      <c r="AP97" s="63" t="n"/>
      <c r="AQ97" s="6" t="n"/>
      <c r="AR97" s="62" t="n"/>
      <c r="AS97" s="5" t="n"/>
      <c r="AT97" s="6" t="n"/>
      <c r="AU97" s="63" t="n"/>
      <c r="AV97" s="6" t="n"/>
      <c r="AW97" s="63" t="n"/>
      <c r="AX97" s="6" t="n"/>
      <c r="AY97" s="63" t="n"/>
      <c r="AZ97" s="6" t="n"/>
      <c r="BA97" s="63" t="n"/>
      <c r="BB97" s="5" t="n"/>
      <c r="BC97" s="6" t="n"/>
      <c r="BD97" s="63" t="n"/>
      <c r="BE97" s="6" t="n"/>
      <c r="BF97" s="62" t="n"/>
      <c r="BG97" s="5" t="n"/>
      <c r="BH97" s="6" t="n"/>
      <c r="BI97" s="64" t="n"/>
      <c r="BJ97" s="5" t="n"/>
      <c r="BK97" s="42" t="n"/>
    </row>
    <row r="98" ht="60" customHeight="1">
      <c r="A98" s="65" t="inlineStr">
        <is>
          <t>UAT-WEB-092</t>
        </is>
      </c>
      <c r="B98" s="6" t="n"/>
      <c r="C98" s="66" t="inlineStr">
        <is>
          <t>Quản trị viên Okada Denki</t>
        </is>
      </c>
      <c r="D98" s="5" t="n"/>
      <c r="E98" s="5" t="n"/>
      <c r="F98" s="6" t="n"/>
      <c r="G98" s="66" t="inlineStr">
        <is>
          <t>Bảo trì</t>
        </is>
      </c>
      <c r="H98" s="5" t="n"/>
      <c r="I98" s="6" t="n"/>
      <c r="J98" s="66" t="inlineStr">
        <is>
          <t>Cuộc gọi/tin nhắn trên app bị vô hiệu hóa trong thời gian bảo trì</t>
        </is>
      </c>
      <c r="K98" s="5" t="n"/>
      <c r="L98" s="6" t="n"/>
      <c r="M98" s="66" t="inlineStr">
        <is>
          <t>Bảo trì đã bắt đầu (OD-M02).</t>
        </is>
      </c>
      <c r="N98" s="5" t="n"/>
      <c r="O98" s="5" t="n"/>
      <c r="P98" s="5" t="n"/>
      <c r="Q98" s="6" t="n"/>
      <c r="R98" s="66" t="inlineStr">
        <is>
          <t>① Người dùng thử thực hiện cuộc gọi trên app mobile
② Người dùng thử gửi tin nhắn</t>
        </is>
      </c>
      <c r="S98" s="5" t="n"/>
      <c r="T98" s="5" t="n"/>
      <c r="U98" s="5" t="n"/>
      <c r="V98" s="5" t="n"/>
      <c r="W98" s="5" t="n"/>
      <c r="X98" s="6" t="n"/>
      <c r="Y98" s="66" t="inlineStr">
        <is>
          <t>Cuộc gọi âm thanh/video và tin nhắn bị vô hiệu hóa, thông báo bảo trì hiển thị trên app.</t>
        </is>
      </c>
      <c r="Z98" s="5" t="n"/>
      <c r="AA98" s="5" t="n"/>
      <c r="AB98" s="5" t="n"/>
      <c r="AC98" s="5" t="n"/>
      <c r="AD98" s="6" t="n"/>
      <c r="AE98" s="67" t="inlineStr">
        <is>
          <t>H</t>
        </is>
      </c>
      <c r="AF98" s="6" t="n"/>
      <c r="AG98" s="67" t="n"/>
      <c r="AH98" s="6" t="n"/>
      <c r="AI98" s="67" t="n"/>
      <c r="AJ98" s="6" t="n"/>
      <c r="AK98" s="67" t="n"/>
      <c r="AL98" s="6" t="n"/>
      <c r="AM98" s="67" t="n"/>
      <c r="AN98" s="5" t="n"/>
      <c r="AO98" s="6" t="n"/>
      <c r="AP98" s="67" t="n"/>
      <c r="AQ98" s="6" t="n"/>
      <c r="AR98" s="66" t="n"/>
      <c r="AS98" s="5" t="n"/>
      <c r="AT98" s="6" t="n"/>
      <c r="AU98" s="67" t="n"/>
      <c r="AV98" s="6" t="n"/>
      <c r="AW98" s="67" t="n"/>
      <c r="AX98" s="6" t="n"/>
      <c r="AY98" s="67" t="n"/>
      <c r="AZ98" s="6" t="n"/>
      <c r="BA98" s="67" t="n"/>
      <c r="BB98" s="5" t="n"/>
      <c r="BC98" s="6" t="n"/>
      <c r="BD98" s="67" t="n"/>
      <c r="BE98" s="6" t="n"/>
      <c r="BF98" s="66" t="n"/>
      <c r="BG98" s="5" t="n"/>
      <c r="BH98" s="6" t="n"/>
      <c r="BI98" s="68" t="n"/>
      <c r="BJ98" s="5" t="n"/>
      <c r="BK98" s="42" t="n"/>
    </row>
    <row r="99" ht="60" customHeight="1">
      <c r="A99" s="61" t="inlineStr">
        <is>
          <t>UAT-WEB-093</t>
        </is>
      </c>
      <c r="B99" s="6" t="n"/>
      <c r="C99" s="62" t="inlineStr">
        <is>
          <t>Quản trị viên Okada Denki</t>
        </is>
      </c>
      <c r="D99" s="5" t="n"/>
      <c r="E99" s="5" t="n"/>
      <c r="F99" s="6" t="n"/>
      <c r="G99" s="62" t="inlineStr">
        <is>
          <t>Bảo trì</t>
        </is>
      </c>
      <c r="H99" s="5" t="n"/>
      <c r="I99" s="6" t="n"/>
      <c r="J99" s="62" t="inlineStr">
        <is>
          <t>Kết thúc bảo trì thành công</t>
        </is>
      </c>
      <c r="K99" s="5" t="n"/>
      <c r="L99" s="6" t="n"/>
      <c r="M99" s="62" t="inlineStr">
        <is>
          <t>Đang trong trạng thái bảo trì (OD-M02). Công việc trên MVE server đã hoàn tất.</t>
        </is>
      </c>
      <c r="N99" s="5" t="n"/>
      <c r="O99" s="5" t="n"/>
      <c r="P99" s="5" t="n"/>
      <c r="Q99" s="6" t="n"/>
      <c r="R99" s="62" t="inlineStr">
        <is>
          <t>① Nhấn nút "メンテナンス終了"
② Kiểm tra popup "メンテナンスを終了します。よろしいですか？"
③ Nhấn "OK"</t>
        </is>
      </c>
      <c r="S99" s="5" t="n"/>
      <c r="T99" s="5" t="n"/>
      <c r="U99" s="5" t="n"/>
      <c r="V99" s="5" t="n"/>
      <c r="W99" s="5" t="n"/>
      <c r="X99" s="6" t="n"/>
      <c r="Y99" s="62" t="inlineStr">
        <is>
          <t>Nút "メンテナンス終了" bị ẩn, nút "メンテナンス開始" hiển thị lại và cuộc gọi/tin nhắn trên app được khôi phục.</t>
        </is>
      </c>
      <c r="Z99" s="5" t="n"/>
      <c r="AA99" s="5" t="n"/>
      <c r="AB99" s="5" t="n"/>
      <c r="AC99" s="5" t="n"/>
      <c r="AD99" s="6" t="n"/>
      <c r="AE99" s="63" t="inlineStr">
        <is>
          <t>H</t>
        </is>
      </c>
      <c r="AF99" s="6" t="n"/>
      <c r="AG99" s="63" t="n"/>
      <c r="AH99" s="6" t="n"/>
      <c r="AI99" s="63" t="n"/>
      <c r="AJ99" s="6" t="n"/>
      <c r="AK99" s="63" t="n"/>
      <c r="AL99" s="6" t="n"/>
      <c r="AM99" s="63" t="n"/>
      <c r="AN99" s="5" t="n"/>
      <c r="AO99" s="6" t="n"/>
      <c r="AP99" s="63" t="n"/>
      <c r="AQ99" s="6" t="n"/>
      <c r="AR99" s="62" t="n"/>
      <c r="AS99" s="5" t="n"/>
      <c r="AT99" s="6" t="n"/>
      <c r="AU99" s="63" t="n"/>
      <c r="AV99" s="6" t="n"/>
      <c r="AW99" s="63" t="n"/>
      <c r="AX99" s="6" t="n"/>
      <c r="AY99" s="63" t="n"/>
      <c r="AZ99" s="6" t="n"/>
      <c r="BA99" s="63" t="n"/>
      <c r="BB99" s="5" t="n"/>
      <c r="BC99" s="6" t="n"/>
      <c r="BD99" s="63" t="n"/>
      <c r="BE99" s="6" t="n"/>
      <c r="BF99" s="62" t="n"/>
      <c r="BG99" s="5" t="n"/>
      <c r="BH99" s="6" t="n"/>
      <c r="BI99" s="64" t="n"/>
      <c r="BJ99" s="5" t="n"/>
      <c r="BK99" s="42" t="n"/>
    </row>
    <row r="100" ht="60" customHeight="1">
      <c r="A100" s="65" t="inlineStr">
        <is>
          <t>UAT-WEB-094</t>
        </is>
      </c>
      <c r="B100" s="6" t="n"/>
      <c r="C100" s="66" t="inlineStr">
        <is>
          <t>Quản trị viên Okada Denki</t>
        </is>
      </c>
      <c r="D100" s="5" t="n"/>
      <c r="E100" s="5" t="n"/>
      <c r="F100" s="6" t="n"/>
      <c r="G100" s="66" t="inlineStr">
        <is>
          <t>Bảo trì</t>
        </is>
      </c>
      <c r="H100" s="5" t="n"/>
      <c r="I100" s="6" t="n"/>
      <c r="J100" s="66" t="inlineStr">
        <is>
          <t>Trạng thái bảo trì không bị hủy khi logout và login lại</t>
        </is>
      </c>
      <c r="K100" s="5" t="n"/>
      <c r="L100" s="6" t="n"/>
      <c r="M100" s="66" t="inlineStr">
        <is>
          <t>Đang trong trạng thái bảo trì.</t>
        </is>
      </c>
      <c r="N100" s="5" t="n"/>
      <c r="O100" s="5" t="n"/>
      <c r="P100" s="5" t="n"/>
      <c r="Q100" s="6" t="n"/>
      <c r="R100" s="66" t="inlineStr">
        <is>
          <t>① Logout khỏi màn hình quản trị web
② Login lại
③ Mở màn hình quản lý Okada Denki</t>
        </is>
      </c>
      <c r="S100" s="5" t="n"/>
      <c r="T100" s="5" t="n"/>
      <c r="U100" s="5" t="n"/>
      <c r="V100" s="5" t="n"/>
      <c r="W100" s="5" t="n"/>
      <c r="X100" s="6" t="n"/>
      <c r="Y100" s="66" t="inlineStr">
        <is>
          <t>Trạng thái bảo trì được giữ nguyên và nút "メンテナンス終了" vẫn tiếp tục hiển thị.</t>
        </is>
      </c>
      <c r="Z100" s="5" t="n"/>
      <c r="AA100" s="5" t="n"/>
      <c r="AB100" s="5" t="n"/>
      <c r="AC100" s="5" t="n"/>
      <c r="AD100" s="6" t="n"/>
      <c r="AE100" s="67" t="inlineStr">
        <is>
          <t>H</t>
        </is>
      </c>
      <c r="AF100" s="6" t="n"/>
      <c r="AG100" s="67" t="n"/>
      <c r="AH100" s="6" t="n"/>
      <c r="AI100" s="67" t="n"/>
      <c r="AJ100" s="6" t="n"/>
      <c r="AK100" s="67" t="n"/>
      <c r="AL100" s="6" t="n"/>
      <c r="AM100" s="67" t="n"/>
      <c r="AN100" s="5" t="n"/>
      <c r="AO100" s="6" t="n"/>
      <c r="AP100" s="67" t="n"/>
      <c r="AQ100" s="6" t="n"/>
      <c r="AR100" s="66" t="n"/>
      <c r="AS100" s="5" t="n"/>
      <c r="AT100" s="6" t="n"/>
      <c r="AU100" s="67" t="n"/>
      <c r="AV100" s="6" t="n"/>
      <c r="AW100" s="67" t="n"/>
      <c r="AX100" s="6" t="n"/>
      <c r="AY100" s="67" t="n"/>
      <c r="AZ100" s="6" t="n"/>
      <c r="BA100" s="67" t="n"/>
      <c r="BB100" s="5" t="n"/>
      <c r="BC100" s="6" t="n"/>
      <c r="BD100" s="67" t="n"/>
      <c r="BE100" s="6" t="n"/>
      <c r="BF100" s="66" t="n"/>
      <c r="BG100" s="5" t="n"/>
      <c r="BH100" s="6" t="n"/>
      <c r="BI100" s="68" t="n"/>
      <c r="BJ100" s="5" t="n"/>
      <c r="BK100" s="42" t="n"/>
    </row>
    <row r="101" ht="60" customHeight="1">
      <c r="A101" s="61" t="inlineStr">
        <is>
          <t>UAT-WEB-095</t>
        </is>
      </c>
      <c r="B101" s="6" t="n"/>
      <c r="C101" s="62" t="inlineStr">
        <is>
          <t>Quản trị viên Okada Denki</t>
        </is>
      </c>
      <c r="D101" s="5" t="n"/>
      <c r="E101" s="5" t="n"/>
      <c r="F101" s="6" t="n"/>
      <c r="G101" s="62" t="inlineStr">
        <is>
          <t>Xuất tài khoản và đồng bộ MVE</t>
        </is>
      </c>
      <c r="H101" s="5" t="n"/>
      <c r="I101" s="6" t="n"/>
      <c r="J101" s="62" t="inlineStr">
        <is>
          <t>Xuất CSV danh sách tài khoản SIP</t>
        </is>
      </c>
      <c r="K101" s="5" t="n"/>
      <c r="L101" s="6" t="n"/>
      <c r="M101" s="62" t="inlineStr">
        <is>
          <t>Đã đăng nhập bằng quản trị viên Okada Denki và tồn tại tenant có người dùng hợp lệ.</t>
        </is>
      </c>
      <c r="N101" s="5" t="n"/>
      <c r="O101" s="5" t="n"/>
      <c r="P101" s="5" t="n"/>
      <c r="Q101" s="6" t="n"/>
      <c r="R101" s="62" t="inlineStr">
        <is>
          <t>① Nhấn "アカウント出力"</t>
        </is>
      </c>
      <c r="S101" s="5" t="n"/>
      <c r="T101" s="5" t="n"/>
      <c r="U101" s="5" t="n"/>
      <c r="V101" s="5" t="n"/>
      <c r="W101" s="5" t="n"/>
      <c r="X101" s="6" t="n"/>
      <c r="Y101" s="62" t="inlineStr">
        <is>
          <t>File CSV được tải xuống tự động, gồm 4 cột: local user, username, password và tên nhóm IP.</t>
        </is>
      </c>
      <c r="Z101" s="5" t="n"/>
      <c r="AA101" s="5" t="n"/>
      <c r="AB101" s="5" t="n"/>
      <c r="AC101" s="5" t="n"/>
      <c r="AD101" s="6" t="n"/>
      <c r="AE101" s="63" t="inlineStr">
        <is>
          <t>H</t>
        </is>
      </c>
      <c r="AF101" s="6" t="n"/>
      <c r="AG101" s="63" t="n"/>
      <c r="AH101" s="6" t="n"/>
      <c r="AI101" s="63" t="n"/>
      <c r="AJ101" s="6" t="n"/>
      <c r="AK101" s="63" t="n"/>
      <c r="AL101" s="6" t="n"/>
      <c r="AM101" s="63" t="n"/>
      <c r="AN101" s="5" t="n"/>
      <c r="AO101" s="6" t="n"/>
      <c r="AP101" s="63" t="n"/>
      <c r="AQ101" s="6" t="n"/>
      <c r="AR101" s="62" t="n"/>
      <c r="AS101" s="5" t="n"/>
      <c r="AT101" s="6" t="n"/>
      <c r="AU101" s="63" t="n"/>
      <c r="AV101" s="6" t="n"/>
      <c r="AW101" s="63" t="n"/>
      <c r="AX101" s="6" t="n"/>
      <c r="AY101" s="63" t="n"/>
      <c r="AZ101" s="6" t="n"/>
      <c r="BA101" s="63" t="n"/>
      <c r="BB101" s="5" t="n"/>
      <c r="BC101" s="6" t="n"/>
      <c r="BD101" s="63" t="n"/>
      <c r="BE101" s="6" t="n"/>
      <c r="BF101" s="62" t="n"/>
      <c r="BG101" s="5" t="n"/>
      <c r="BH101" s="6" t="n"/>
      <c r="BI101" s="64" t="n"/>
      <c r="BJ101" s="5" t="n"/>
      <c r="BK101" s="42" t="n"/>
    </row>
    <row r="102" ht="75" customHeight="1">
      <c r="A102" s="65" t="inlineStr">
        <is>
          <t>UAT-WEB-096</t>
        </is>
      </c>
      <c r="B102" s="6" t="n"/>
      <c r="C102" s="66" t="inlineStr">
        <is>
          <t>Quản trị viên Okada Denki</t>
        </is>
      </c>
      <c r="D102" s="5" t="n"/>
      <c r="E102" s="5" t="n"/>
      <c r="F102" s="6" t="n"/>
      <c r="G102" s="66" t="inlineStr">
        <is>
          <t>Xuất tài khoản và đồng bộ MVE</t>
        </is>
      </c>
      <c r="H102" s="5" t="n"/>
      <c r="I102" s="6" t="n"/>
      <c r="J102" s="66" t="inlineStr">
        <is>
          <t>Kiểm tra file CSV chỉ chứa người dùng ở trạng thái hợp lệ</t>
        </is>
      </c>
      <c r="K102" s="5" t="n"/>
      <c r="L102" s="6" t="n"/>
      <c r="M102" s="66" t="inlineStr">
        <is>
          <t>Tenant có người dùng ở nhiều trạng thái: 登録待ち, 登録済み, アクティブ待ち, 利用中, 削除済み.</t>
        </is>
      </c>
      <c r="N102" s="5" t="n"/>
      <c r="O102" s="5" t="n"/>
      <c r="P102" s="5" t="n"/>
      <c r="Q102" s="6" t="n"/>
      <c r="R102" s="66" t="inlineStr">
        <is>
          <t>① Xuất CSV của tenant
② Mở file CSV để kiểm tra</t>
        </is>
      </c>
      <c r="S102" s="5" t="n"/>
      <c r="T102" s="5" t="n"/>
      <c r="U102" s="5" t="n"/>
      <c r="V102" s="5" t="n"/>
      <c r="W102" s="5" t="n"/>
      <c r="X102" s="6" t="n"/>
      <c r="Y102" s="66" t="inlineStr">
        <is>
          <t>File CSV chứa người dùng ở trạng thái 登録待ち, 登録済み, アクティブ待ち, 利用中; người dùng "削除済み" không được đưa vào file xuất.</t>
        </is>
      </c>
      <c r="Z102" s="5" t="n"/>
      <c r="AA102" s="5" t="n"/>
      <c r="AB102" s="5" t="n"/>
      <c r="AC102" s="5" t="n"/>
      <c r="AD102" s="6" t="n"/>
      <c r="AE102" s="67" t="inlineStr">
        <is>
          <t>H</t>
        </is>
      </c>
      <c r="AF102" s="6" t="n"/>
      <c r="AG102" s="67" t="n"/>
      <c r="AH102" s="6" t="n"/>
      <c r="AI102" s="67" t="n"/>
      <c r="AJ102" s="6" t="n"/>
      <c r="AK102" s="67" t="n"/>
      <c r="AL102" s="6" t="n"/>
      <c r="AM102" s="67" t="n"/>
      <c r="AN102" s="5" t="n"/>
      <c r="AO102" s="6" t="n"/>
      <c r="AP102" s="67" t="n"/>
      <c r="AQ102" s="6" t="n"/>
      <c r="AR102" s="66" t="n"/>
      <c r="AS102" s="5" t="n"/>
      <c r="AT102" s="6" t="n"/>
      <c r="AU102" s="67" t="n"/>
      <c r="AV102" s="6" t="n"/>
      <c r="AW102" s="67" t="n"/>
      <c r="AX102" s="6" t="n"/>
      <c r="AY102" s="67" t="n"/>
      <c r="AZ102" s="6" t="n"/>
      <c r="BA102" s="67" t="n"/>
      <c r="BB102" s="5" t="n"/>
      <c r="BC102" s="6" t="n"/>
      <c r="BD102" s="67" t="n"/>
      <c r="BE102" s="6" t="n"/>
      <c r="BF102" s="66" t="n"/>
      <c r="BG102" s="5" t="n"/>
      <c r="BH102" s="6" t="n"/>
      <c r="BI102" s="68" t="n"/>
      <c r="BJ102" s="5" t="n"/>
      <c r="BK102" s="42" t="n"/>
    </row>
    <row r="103" ht="60" customHeight="1">
      <c r="A103" s="61" t="inlineStr">
        <is>
          <t>UAT-WEB-097</t>
        </is>
      </c>
      <c r="B103" s="6" t="n"/>
      <c r="C103" s="62" t="inlineStr">
        <is>
          <t>Quản trị viên Okada Denki</t>
        </is>
      </c>
      <c r="D103" s="5" t="n"/>
      <c r="E103" s="5" t="n"/>
      <c r="F103" s="6" t="n"/>
      <c r="G103" s="62" t="inlineStr">
        <is>
          <t>Xuất tài khoản và đồng bộ MVE</t>
        </is>
      </c>
      <c r="H103" s="5" t="n"/>
      <c r="I103" s="6" t="n"/>
      <c r="J103" s="62" t="inlineStr">
        <is>
          <t>Kiểm tra định dạng dữ liệu trong file CSV</t>
        </is>
      </c>
      <c r="K103" s="5" t="n"/>
      <c r="L103" s="6" t="n"/>
      <c r="M103" s="62" t="inlineStr">
        <is>
          <t>Đã xuất CSV (OD-E01).</t>
        </is>
      </c>
      <c r="N103" s="5" t="n"/>
      <c r="O103" s="5" t="n"/>
      <c r="P103" s="5" t="n"/>
      <c r="Q103" s="6" t="n"/>
      <c r="R103" s="62" t="inlineStr">
        <is>
          <t>① Mở file CSV
② Kiểm tra cột local user và cột tên nhóm IP</t>
        </is>
      </c>
      <c r="S103" s="5" t="n"/>
      <c r="T103" s="5" t="n"/>
      <c r="U103" s="5" t="n"/>
      <c r="V103" s="5" t="n"/>
      <c r="W103" s="5" t="n"/>
      <c r="X103" s="6" t="n"/>
      <c r="Y103" s="62" t="inlineStr">
        <is>
          <t>Local user = tenant ID + số SIP máy nhánh (nối chuỗi, ví dụ: 50010001). Tên nhóm IP = "IPG_" + tên tenant.</t>
        </is>
      </c>
      <c r="Z103" s="5" t="n"/>
      <c r="AA103" s="5" t="n"/>
      <c r="AB103" s="5" t="n"/>
      <c r="AC103" s="5" t="n"/>
      <c r="AD103" s="6" t="n"/>
      <c r="AE103" s="63" t="inlineStr">
        <is>
          <t>H</t>
        </is>
      </c>
      <c r="AF103" s="6" t="n"/>
      <c r="AG103" s="63" t="n"/>
      <c r="AH103" s="6" t="n"/>
      <c r="AI103" s="63" t="n"/>
      <c r="AJ103" s="6" t="n"/>
      <c r="AK103" s="63" t="n"/>
      <c r="AL103" s="6" t="n"/>
      <c r="AM103" s="63" t="n"/>
      <c r="AN103" s="5" t="n"/>
      <c r="AO103" s="6" t="n"/>
      <c r="AP103" s="63" t="n"/>
      <c r="AQ103" s="6" t="n"/>
      <c r="AR103" s="62" t="n"/>
      <c r="AS103" s="5" t="n"/>
      <c r="AT103" s="6" t="n"/>
      <c r="AU103" s="63" t="n"/>
      <c r="AV103" s="6" t="n"/>
      <c r="AW103" s="63" t="n"/>
      <c r="AX103" s="6" t="n"/>
      <c r="AY103" s="63" t="n"/>
      <c r="AZ103" s="6" t="n"/>
      <c r="BA103" s="63" t="n"/>
      <c r="BB103" s="5" t="n"/>
      <c r="BC103" s="6" t="n"/>
      <c r="BD103" s="63" t="n"/>
      <c r="BE103" s="6" t="n"/>
      <c r="BF103" s="62" t="n"/>
      <c r="BG103" s="5" t="n"/>
      <c r="BH103" s="6" t="n"/>
      <c r="BI103" s="64" t="n"/>
      <c r="BJ103" s="5" t="n"/>
      <c r="BK103" s="42" t="n"/>
    </row>
    <row r="104" ht="75" customHeight="1">
      <c r="A104" s="65" t="inlineStr">
        <is>
          <t>UAT-WEB-098</t>
        </is>
      </c>
      <c r="B104" s="6" t="n"/>
      <c r="C104" s="66" t="inlineStr">
        <is>
          <t>Quản trị viên Okada Denki</t>
        </is>
      </c>
      <c r="D104" s="5" t="n"/>
      <c r="E104" s="5" t="n"/>
      <c r="F104" s="6" t="n"/>
      <c r="G104" s="66" t="inlineStr">
        <is>
          <t>Xuất tài khoản và đồng bộ MVE</t>
        </is>
      </c>
      <c r="H104" s="5" t="n"/>
      <c r="I104" s="6" t="n"/>
      <c r="J104" s="66" t="inlineStr">
        <is>
          <t>Import file CSV vào MVE - người dùng "削除済み" bị xóa khỏi MVE</t>
        </is>
      </c>
      <c r="K104" s="5" t="n"/>
      <c r="L104" s="6" t="n"/>
      <c r="M104" s="66" t="inlineStr">
        <is>
          <t>Đã xuất CSV sau khi xóa người dùng. Đang bảo trì.</t>
        </is>
      </c>
      <c r="N104" s="5" t="n"/>
      <c r="O104" s="5" t="n"/>
      <c r="P104" s="5" t="n"/>
      <c r="Q104" s="6" t="n"/>
      <c r="R104" s="66" t="inlineStr">
        <is>
          <t>① Đăng nhập vào hệ thống MVE
② Import file CSV đã xuất từ màn hình quản trị web
③ Xác nhận import thành công</t>
        </is>
      </c>
      <c r="S104" s="5" t="n"/>
      <c r="T104" s="5" t="n"/>
      <c r="U104" s="5" t="n"/>
      <c r="V104" s="5" t="n"/>
      <c r="W104" s="5" t="n"/>
      <c r="X104" s="6" t="n"/>
      <c r="Y104" s="66" t="inlineStr">
        <is>
          <t>Do người dùng "削除済み" không có trong CSV, người dùng này bị xóa khỏi MVE; các người dùng còn lại vẫn tồn tại trên MVE.</t>
        </is>
      </c>
      <c r="Z104" s="5" t="n"/>
      <c r="AA104" s="5" t="n"/>
      <c r="AB104" s="5" t="n"/>
      <c r="AC104" s="5" t="n"/>
      <c r="AD104" s="6" t="n"/>
      <c r="AE104" s="67" t="inlineStr">
        <is>
          <t>H</t>
        </is>
      </c>
      <c r="AF104" s="6" t="n"/>
      <c r="AG104" s="67" t="n"/>
      <c r="AH104" s="6" t="n"/>
      <c r="AI104" s="67" t="n"/>
      <c r="AJ104" s="6" t="n"/>
      <c r="AK104" s="67" t="n"/>
      <c r="AL104" s="6" t="n"/>
      <c r="AM104" s="67" t="n"/>
      <c r="AN104" s="5" t="n"/>
      <c r="AO104" s="6" t="n"/>
      <c r="AP104" s="67" t="n"/>
      <c r="AQ104" s="6" t="n"/>
      <c r="AR104" s="66" t="n"/>
      <c r="AS104" s="5" t="n"/>
      <c r="AT104" s="6" t="n"/>
      <c r="AU104" s="67" t="n"/>
      <c r="AV104" s="6" t="n"/>
      <c r="AW104" s="67" t="n"/>
      <c r="AX104" s="6" t="n"/>
      <c r="AY104" s="67" t="n"/>
      <c r="AZ104" s="6" t="n"/>
      <c r="BA104" s="67" t="n"/>
      <c r="BB104" s="5" t="n"/>
      <c r="BC104" s="6" t="n"/>
      <c r="BD104" s="67" t="n"/>
      <c r="BE104" s="6" t="n"/>
      <c r="BF104" s="66" t="n"/>
      <c r="BG104" s="5" t="n"/>
      <c r="BH104" s="6" t="n"/>
      <c r="BI104" s="68" t="n"/>
      <c r="BJ104" s="5" t="n"/>
      <c r="BK104" s="42" t="n"/>
    </row>
    <row r="105" ht="135" customHeight="1">
      <c r="A105" s="61" t="inlineStr">
        <is>
          <t>UAT-WEB-099</t>
        </is>
      </c>
      <c r="B105" s="6" t="n"/>
      <c r="C105" s="62" t="inlineStr">
        <is>
          <t>Quản trị viên Okada Denki</t>
        </is>
      </c>
      <c r="D105" s="5" t="n"/>
      <c r="E105" s="5" t="n"/>
      <c r="F105" s="6" t="n"/>
      <c r="G105" s="62" t="inlineStr">
        <is>
          <t>Xuất tài khoản và đồng bộ MVE</t>
        </is>
      </c>
      <c r="H105" s="5" t="n"/>
      <c r="I105" s="6" t="n"/>
      <c r="J105" s="62" t="inlineStr">
        <is>
          <t>Chuỗi xử lý bảo trì khi xóa người dùng: xuất file, bảo trì, import MVE, kết thúc</t>
        </is>
      </c>
      <c r="K105" s="5" t="n"/>
      <c r="L105" s="6" t="n"/>
      <c r="M105" s="62" t="inlineStr">
        <is>
          <t>Quản trị viên tenant đã xóa 1 người dùng (trạng thái "削除済み").</t>
        </is>
      </c>
      <c r="N105" s="5" t="n"/>
      <c r="O105" s="5" t="n"/>
      <c r="P105" s="5" t="n"/>
      <c r="Q105" s="6" t="n"/>
      <c r="R105" s="62" t="inlineStr">
        <is>
          <t>① Xuất CSV danh sách người dùng từ màn hình quản lý Okada Denki
② Nhấn "メンテナンス開始"
③ Đăng nhập vào hệ thống MVE và import file CSV đã xuất
④ Xác nhận import thành công trên MVE
⑤ Quay lại màn hình quản trị web và nhấn "メンテナンス終了"</t>
        </is>
      </c>
      <c r="S105" s="5" t="n"/>
      <c r="T105" s="5" t="n"/>
      <c r="U105" s="5" t="n"/>
      <c r="V105" s="5" t="n"/>
      <c r="W105" s="5" t="n"/>
      <c r="X105" s="6" t="n"/>
      <c r="Y105" s="62" t="inlineStr">
        <is>
          <t>Do người dùng "削除済み" không có trong CSV, người dùng này bị xóa khỏi MVE và thông tin SIP không còn liên kết với người dùng trạng thái "削除済み".
Các người dùng còn lại tiếp tục tồn tại trên MVE.</t>
        </is>
      </c>
      <c r="Z105" s="5" t="n"/>
      <c r="AA105" s="5" t="n"/>
      <c r="AB105" s="5" t="n"/>
      <c r="AC105" s="5" t="n"/>
      <c r="AD105" s="6" t="n"/>
      <c r="AE105" s="63" t="inlineStr">
        <is>
          <t>H</t>
        </is>
      </c>
      <c r="AF105" s="6" t="n"/>
      <c r="AG105" s="63" t="n"/>
      <c r="AH105" s="6" t="n"/>
      <c r="AI105" s="63" t="n"/>
      <c r="AJ105" s="6" t="n"/>
      <c r="AK105" s="63" t="n"/>
      <c r="AL105" s="6" t="n"/>
      <c r="AM105" s="63" t="n"/>
      <c r="AN105" s="5" t="n"/>
      <c r="AO105" s="6" t="n"/>
      <c r="AP105" s="63" t="n"/>
      <c r="AQ105" s="6" t="n"/>
      <c r="AR105" s="62" t="n"/>
      <c r="AS105" s="5" t="n"/>
      <c r="AT105" s="6" t="n"/>
      <c r="AU105" s="63" t="n"/>
      <c r="AV105" s="6" t="n"/>
      <c r="AW105" s="63" t="n"/>
      <c r="AX105" s="6" t="n"/>
      <c r="AY105" s="63" t="n"/>
      <c r="AZ105" s="6" t="n"/>
      <c r="BA105" s="63" t="n"/>
      <c r="BB105" s="5" t="n"/>
      <c r="BC105" s="6" t="n"/>
      <c r="BD105" s="63" t="n"/>
      <c r="BE105" s="6" t="n"/>
      <c r="BF105" s="62" t="n"/>
      <c r="BG105" s="5" t="n"/>
      <c r="BH105" s="6" t="n"/>
      <c r="BI105" s="64" t="n"/>
      <c r="BJ105" s="5" t="n"/>
      <c r="BK105" s="42" t="n"/>
    </row>
    <row r="106" ht="225" customHeight="1">
      <c r="A106" s="65" t="inlineStr">
        <is>
          <t>UAT-WEB-100</t>
        </is>
      </c>
      <c r="B106" s="6" t="n"/>
      <c r="C106" s="66" t="inlineStr">
        <is>
          <t>Luồng onboarding</t>
        </is>
      </c>
      <c r="D106" s="5" t="n"/>
      <c r="E106" s="5" t="n"/>
      <c r="F106" s="6" t="n"/>
      <c r="G106" s="66" t="inlineStr">
        <is>
          <t>Onboarding</t>
        </is>
      </c>
      <c r="H106" s="5" t="n"/>
      <c r="I106" s="6" t="n"/>
      <c r="J106" s="66" t="inlineStr">
        <is>
          <t>Kiểm tra toàn bộ luồng từ tạo tenant, upload người dùng đến gửi email cho quản trị viên tenant</t>
        </is>
      </c>
      <c r="K106" s="5" t="n"/>
      <c r="L106" s="6" t="n"/>
      <c r="M106" s="66" t="inlineStr">
        <is>
          <t>Không có tenant test đang sử dụng và có file CSV người dùng hợp lệ.</t>
        </is>
      </c>
      <c r="N106" s="5" t="n"/>
      <c r="O106" s="5" t="n"/>
      <c r="P106" s="5" t="n"/>
      <c r="Q106" s="6" t="n"/>
      <c r="R106" s="66" t="inlineStr">
        <is>
          <t>① Đăng nhập bằng tài khoản role quản trị viên hệ thống
② Nhấn "テナント作成"
③ Nhập thông tin hợp lệ trên màn hình tạo tenant
④ Nhấn "保存" -&gt; "OK"
⑤ Tại popup xác nhận upload người dùng, nhấn "はい"
⑥ Upload file CSV người dùng hợp lệ
⑦ Kiểm tra người dùng được tạo ở trạng thái "登録待ち"
⑧ Quản trị viên hệ thống gửi email đăng nhập cho quản trị viên tenant bằng nút "ログイン情報通知"</t>
        </is>
      </c>
      <c r="S106" s="5" t="n"/>
      <c r="T106" s="5" t="n"/>
      <c r="U106" s="5" t="n"/>
      <c r="V106" s="5" t="n"/>
      <c r="W106" s="5" t="n"/>
      <c r="X106" s="6" t="n"/>
      <c r="Y106" s="66" t="inlineStr">
        <is>
          <t>Tenant được tạo thành công ở trạng thái "登録待ち".
Người dùng được tạo ở trạng thái "登録待ち" và quản trị viên tenant nhận được email đăng nhập.</t>
        </is>
      </c>
      <c r="Z106" s="5" t="n"/>
      <c r="AA106" s="5" t="n"/>
      <c r="AB106" s="5" t="n"/>
      <c r="AC106" s="5" t="n"/>
      <c r="AD106" s="6" t="n"/>
      <c r="AE106" s="67" t="inlineStr">
        <is>
          <t>H</t>
        </is>
      </c>
      <c r="AF106" s="6" t="n"/>
      <c r="AG106" s="67" t="n"/>
      <c r="AH106" s="6" t="n"/>
      <c r="AI106" s="67" t="n"/>
      <c r="AJ106" s="6" t="n"/>
      <c r="AK106" s="67" t="n"/>
      <c r="AL106" s="6" t="n"/>
      <c r="AM106" s="67" t="n"/>
      <c r="AN106" s="5" t="n"/>
      <c r="AO106" s="6" t="n"/>
      <c r="AP106" s="67" t="n"/>
      <c r="AQ106" s="6" t="n"/>
      <c r="AR106" s="66" t="n"/>
      <c r="AS106" s="5" t="n"/>
      <c r="AT106" s="6" t="n"/>
      <c r="AU106" s="67" t="n"/>
      <c r="AV106" s="6" t="n"/>
      <c r="AW106" s="67" t="n"/>
      <c r="AX106" s="6" t="n"/>
      <c r="AY106" s="67" t="n"/>
      <c r="AZ106" s="6" t="n"/>
      <c r="BA106" s="67" t="n"/>
      <c r="BB106" s="5" t="n"/>
      <c r="BC106" s="6" t="n"/>
      <c r="BD106" s="67" t="n"/>
      <c r="BE106" s="6" t="n"/>
      <c r="BF106" s="66" t="n"/>
      <c r="BG106" s="5" t="n"/>
      <c r="BH106" s="6" t="n"/>
      <c r="BI106" s="68" t="n"/>
      <c r="BJ106" s="5" t="n"/>
      <c r="BK106" s="42" t="n"/>
    </row>
    <row r="107" ht="45" customHeight="1">
      <c r="A107" s="61" t="inlineStr">
        <is>
          <t>UAT-WEB-101</t>
        </is>
      </c>
      <c r="B107" s="6" t="n"/>
      <c r="C107" s="62" t="inlineStr">
        <is>
          <t>Luồng onboarding</t>
        </is>
      </c>
      <c r="D107" s="5" t="n"/>
      <c r="E107" s="5" t="n"/>
      <c r="F107" s="6" t="n"/>
      <c r="G107" s="62" t="inlineStr">
        <is>
          <t>Onboarding</t>
        </is>
      </c>
      <c r="H107" s="5" t="n"/>
      <c r="I107" s="6" t="n"/>
      <c r="J107" s="62" t="inlineStr">
        <is>
          <t>Bỏ qua bước upload người dùng ngay sau khi tạo tenant</t>
        </is>
      </c>
      <c r="K107" s="5" t="n"/>
      <c r="L107" s="6" t="n"/>
      <c r="M107" s="62" t="inlineStr">
        <is>
          <t>Ngay sau khi tạo tenant mới, popup xác nhận upload đang hiển thị.</t>
        </is>
      </c>
      <c r="N107" s="5" t="n"/>
      <c r="O107" s="5" t="n"/>
      <c r="P107" s="5" t="n"/>
      <c r="Q107" s="6" t="n"/>
      <c r="R107" s="62" t="inlineStr">
        <is>
          <t>① Tại popup "ユーザー一括アップロード確認"
② Nhấn "いいえ"</t>
        </is>
      </c>
      <c r="S107" s="5" t="n"/>
      <c r="T107" s="5" t="n"/>
      <c r="U107" s="5" t="n"/>
      <c r="V107" s="5" t="n"/>
      <c r="W107" s="5" t="n"/>
      <c r="X107" s="6" t="n"/>
      <c r="Y107" s="62" t="inlineStr">
        <is>
          <t>Popup đóng và quay lại màn hình danh sách tenant. Có thể upload người dùng sau.</t>
        </is>
      </c>
      <c r="Z107" s="5" t="n"/>
      <c r="AA107" s="5" t="n"/>
      <c r="AB107" s="5" t="n"/>
      <c r="AC107" s="5" t="n"/>
      <c r="AD107" s="6" t="n"/>
      <c r="AE107" s="63" t="inlineStr">
        <is>
          <t>H</t>
        </is>
      </c>
      <c r="AF107" s="6" t="n"/>
      <c r="AG107" s="63" t="n"/>
      <c r="AH107" s="6" t="n"/>
      <c r="AI107" s="63" t="n"/>
      <c r="AJ107" s="6" t="n"/>
      <c r="AK107" s="63" t="n"/>
      <c r="AL107" s="6" t="n"/>
      <c r="AM107" s="63" t="n"/>
      <c r="AN107" s="5" t="n"/>
      <c r="AO107" s="6" t="n"/>
      <c r="AP107" s="63" t="n"/>
      <c r="AQ107" s="6" t="n"/>
      <c r="AR107" s="62" t="n"/>
      <c r="AS107" s="5" t="n"/>
      <c r="AT107" s="6" t="n"/>
      <c r="AU107" s="63" t="n"/>
      <c r="AV107" s="6" t="n"/>
      <c r="AW107" s="63" t="n"/>
      <c r="AX107" s="6" t="n"/>
      <c r="AY107" s="63" t="n"/>
      <c r="AZ107" s="6" t="n"/>
      <c r="BA107" s="63" t="n"/>
      <c r="BB107" s="5" t="n"/>
      <c r="BC107" s="6" t="n"/>
      <c r="BD107" s="63" t="n"/>
      <c r="BE107" s="6" t="n"/>
      <c r="BF107" s="62" t="n"/>
      <c r="BG107" s="5" t="n"/>
      <c r="BH107" s="6" t="n"/>
      <c r="BI107" s="64" t="n"/>
      <c r="BJ107" s="5" t="n"/>
      <c r="BK107" s="42" t="n"/>
    </row>
    <row r="108" ht="120" customHeight="1">
      <c r="A108" s="65" t="inlineStr">
        <is>
          <t>UAT-WEB-102</t>
        </is>
      </c>
      <c r="B108" s="6" t="n"/>
      <c r="C108" s="66" t="inlineStr">
        <is>
          <t>Luồng onboarding</t>
        </is>
      </c>
      <c r="D108" s="5" t="n"/>
      <c r="E108" s="5" t="n"/>
      <c r="F108" s="6" t="n"/>
      <c r="G108" s="66" t="inlineStr">
        <is>
          <t>Onboarding</t>
        </is>
      </c>
      <c r="H108" s="5" t="n"/>
      <c r="I108" s="6" t="n"/>
      <c r="J108" s="66" t="inlineStr">
        <is>
          <t>Kiểm tra trạng thái người dùng chuyển thành "登録済み" sau khi Okada Denki xác nhận IPGroup</t>
        </is>
      </c>
      <c r="K108" s="5" t="n"/>
      <c r="L108" s="6" t="n"/>
      <c r="M108" s="66" t="inlineStr">
        <is>
          <t>Đã upload người dùng cho tenant "登録待ち". Okada Denki đã thiết lập IPGroup trên MVE.</t>
        </is>
      </c>
      <c r="N108" s="5" t="n"/>
      <c r="O108" s="5" t="n"/>
      <c r="P108" s="5" t="n"/>
      <c r="Q108" s="6" t="n"/>
      <c r="R108" s="66" t="inlineStr">
        <is>
          <t>① Đăng nhập bằng tài khoản role quản trị viên Okada Denki
② Okada Denki nhấn nút "IPグループ名作成完了" để xác nhận hoàn tất thiết lập tên nhóm IP
③ Quản trị viên hệ thống kiểm tra danh sách người dùng của tenant mục tiêu</t>
        </is>
      </c>
      <c r="S108" s="5" t="n"/>
      <c r="T108" s="5" t="n"/>
      <c r="U108" s="5" t="n"/>
      <c r="V108" s="5" t="n"/>
      <c r="W108" s="5" t="n"/>
      <c r="X108" s="6" t="n"/>
      <c r="Y108" s="66" t="inlineStr">
        <is>
          <t>Trạng thái tenant chuyển từ "登録待ち" sang "利用中" và người dùng "登録待ち" tự động chuyển thành "登録済み" khi MVE API thành công.</t>
        </is>
      </c>
      <c r="Z108" s="5" t="n"/>
      <c r="AA108" s="5" t="n"/>
      <c r="AB108" s="5" t="n"/>
      <c r="AC108" s="5" t="n"/>
      <c r="AD108" s="6" t="n"/>
      <c r="AE108" s="67" t="inlineStr">
        <is>
          <t>H</t>
        </is>
      </c>
      <c r="AF108" s="6" t="n"/>
      <c r="AG108" s="67" t="n"/>
      <c r="AH108" s="6" t="n"/>
      <c r="AI108" s="67" t="n"/>
      <c r="AJ108" s="6" t="n"/>
      <c r="AK108" s="67" t="n"/>
      <c r="AL108" s="6" t="n"/>
      <c r="AM108" s="67" t="n"/>
      <c r="AN108" s="5" t="n"/>
      <c r="AO108" s="6" t="n"/>
      <c r="AP108" s="67" t="n"/>
      <c r="AQ108" s="6" t="n"/>
      <c r="AR108" s="66" t="n"/>
      <c r="AS108" s="5" t="n"/>
      <c r="AT108" s="6" t="n"/>
      <c r="AU108" s="67" t="n"/>
      <c r="AV108" s="6" t="n"/>
      <c r="AW108" s="67" t="n"/>
      <c r="AX108" s="6" t="n"/>
      <c r="AY108" s="67" t="n"/>
      <c r="AZ108" s="6" t="n"/>
      <c r="BA108" s="67" t="n"/>
      <c r="BB108" s="5" t="n"/>
      <c r="BC108" s="6" t="n"/>
      <c r="BD108" s="67" t="n"/>
      <c r="BE108" s="6" t="n"/>
      <c r="BF108" s="66" t="n"/>
      <c r="BG108" s="5" t="n"/>
      <c r="BH108" s="6" t="n"/>
      <c r="BI108" s="68" t="n"/>
      <c r="BJ108" s="5" t="n"/>
      <c r="BK108" s="42" t="n"/>
    </row>
    <row r="109" ht="120" customHeight="1">
      <c r="A109" s="61" t="inlineStr">
        <is>
          <t>UAT-WEB-103</t>
        </is>
      </c>
      <c r="B109" s="6" t="n"/>
      <c r="C109" s="62" t="inlineStr">
        <is>
          <t>Luồng onboarding</t>
        </is>
      </c>
      <c r="D109" s="5" t="n"/>
      <c r="E109" s="5" t="n"/>
      <c r="F109" s="6" t="n"/>
      <c r="G109" s="62" t="inlineStr">
        <is>
          <t>Onboarding</t>
        </is>
      </c>
      <c r="H109" s="5" t="n"/>
      <c r="I109" s="6" t="n"/>
      <c r="J109" s="62" t="inlineStr">
        <is>
          <t>Xác nhận kích hoạt tài khoản người dùng - trạng thái "利用中"</t>
        </is>
      </c>
      <c r="K109" s="5" t="n"/>
      <c r="L109" s="6" t="n"/>
      <c r="M109" s="62" t="inlineStr">
        <is>
          <t>Người dùng đã nhận email kích hoạt (trạng thái: "アクティブ待ち").</t>
        </is>
      </c>
      <c r="N109" s="5" t="n"/>
      <c r="O109" s="5" t="n"/>
      <c r="P109" s="5" t="n"/>
      <c r="Q109" s="6" t="n"/>
      <c r="R109" s="62" t="inlineStr">
        <is>
          <t>① Đăng nhập bằng tài khoản role quản trị viên tenant
② Quản trị viên tenant gửi email kích hoạt tài khoản cho người dùng bằng nút "ログイン情報通知"
③ Người dùng nhấn link kích hoạt trong email
④ Đăng nhập app mobile lần đầu</t>
        </is>
      </c>
      <c r="S109" s="5" t="n"/>
      <c r="T109" s="5" t="n"/>
      <c r="U109" s="5" t="n"/>
      <c r="V109" s="5" t="n"/>
      <c r="W109" s="5" t="n"/>
      <c r="X109" s="6" t="n"/>
      <c r="Y109" s="62" t="inlineStr">
        <is>
          <t>Trạng thái người dùng tự động chuyển từ "アクティブ待ち" sang "利用中".</t>
        </is>
      </c>
      <c r="Z109" s="5" t="n"/>
      <c r="AA109" s="5" t="n"/>
      <c r="AB109" s="5" t="n"/>
      <c r="AC109" s="5" t="n"/>
      <c r="AD109" s="6" t="n"/>
      <c r="AE109" s="63" t="inlineStr">
        <is>
          <t>H</t>
        </is>
      </c>
      <c r="AF109" s="6" t="n"/>
      <c r="AG109" s="63" t="n"/>
      <c r="AH109" s="6" t="n"/>
      <c r="AI109" s="63" t="n"/>
      <c r="AJ109" s="6" t="n"/>
      <c r="AK109" s="63" t="n"/>
      <c r="AL109" s="6" t="n"/>
      <c r="AM109" s="63" t="n"/>
      <c r="AN109" s="5" t="n"/>
      <c r="AO109" s="6" t="n"/>
      <c r="AP109" s="63" t="n"/>
      <c r="AQ109" s="6" t="n"/>
      <c r="AR109" s="62" t="n"/>
      <c r="AS109" s="5" t="n"/>
      <c r="AT109" s="6" t="n"/>
      <c r="AU109" s="63" t="n"/>
      <c r="AV109" s="6" t="n"/>
      <c r="AW109" s="63" t="n"/>
      <c r="AX109" s="6" t="n"/>
      <c r="AY109" s="63" t="n"/>
      <c r="AZ109" s="6" t="n"/>
      <c r="BA109" s="63" t="n"/>
      <c r="BB109" s="5" t="n"/>
      <c r="BC109" s="6" t="n"/>
      <c r="BD109" s="63" t="n"/>
      <c r="BE109" s="6" t="n"/>
      <c r="BF109" s="62" t="n"/>
      <c r="BG109" s="5" t="n"/>
      <c r="BH109" s="6" t="n"/>
      <c r="BI109" s="64" t="n"/>
      <c r="BJ109" s="5" t="n"/>
      <c r="BK109" s="42" t="n"/>
    </row>
    <row r="110" ht="60" customHeight="1">
      <c r="A110" s="65" t="inlineStr">
        <is>
          <t>UAT-WEB-104</t>
        </is>
      </c>
      <c r="B110" s="6" t="n"/>
      <c r="C110" s="66" t="inlineStr">
        <is>
          <t>Luồng onboarding</t>
        </is>
      </c>
      <c r="D110" s="5" t="n"/>
      <c r="E110" s="5" t="n"/>
      <c r="F110" s="6" t="n"/>
      <c r="G110" s="66" t="inlineStr">
        <is>
          <t>Onboarding</t>
        </is>
      </c>
      <c r="H110" s="5" t="n"/>
      <c r="I110" s="6" t="n"/>
      <c r="J110" s="66" t="inlineStr">
        <is>
          <t>Kiểm tra quản trị viên tenant có thể đăng nhập sau khi nhận email</t>
        </is>
      </c>
      <c r="K110" s="5" t="n"/>
      <c r="L110" s="6" t="n"/>
      <c r="M110" s="66" t="inlineStr">
        <is>
          <t>Quản trị viên tenant đã nhận email đăng nhập từ quản trị viên hệ thống.</t>
        </is>
      </c>
      <c r="N110" s="5" t="n"/>
      <c r="O110" s="5" t="n"/>
      <c r="P110" s="5" t="n"/>
      <c r="Q110" s="6" t="n"/>
      <c r="R110" s="66" t="inlineStr">
        <is>
          <t>① Quản trị viên tenant sử dụng thông tin trong email để đăng nhập màn hình quản trị web</t>
        </is>
      </c>
      <c r="S110" s="5" t="n"/>
      <c r="T110" s="5" t="n"/>
      <c r="U110" s="5" t="n"/>
      <c r="V110" s="5" t="n"/>
      <c r="W110" s="5" t="n"/>
      <c r="X110" s="6" t="n"/>
      <c r="Y110" s="66" t="inlineStr">
        <is>
          <t>Đăng nhập thành công. Chuyển đến màn hình danh sách người dùng của tenant hiện tại.</t>
        </is>
      </c>
      <c r="Z110" s="5" t="n"/>
      <c r="AA110" s="5" t="n"/>
      <c r="AB110" s="5" t="n"/>
      <c r="AC110" s="5" t="n"/>
      <c r="AD110" s="6" t="n"/>
      <c r="AE110" s="67" t="inlineStr">
        <is>
          <t>H</t>
        </is>
      </c>
      <c r="AF110" s="6" t="n"/>
      <c r="AG110" s="67" t="n"/>
      <c r="AH110" s="6" t="n"/>
      <c r="AI110" s="67" t="n"/>
      <c r="AJ110" s="6" t="n"/>
      <c r="AK110" s="67" t="n"/>
      <c r="AL110" s="6" t="n"/>
      <c r="AM110" s="67" t="n"/>
      <c r="AN110" s="5" t="n"/>
      <c r="AO110" s="6" t="n"/>
      <c r="AP110" s="67" t="n"/>
      <c r="AQ110" s="6" t="n"/>
      <c r="AR110" s="66" t="n"/>
      <c r="AS110" s="5" t="n"/>
      <c r="AT110" s="6" t="n"/>
      <c r="AU110" s="67" t="n"/>
      <c r="AV110" s="6" t="n"/>
      <c r="AW110" s="67" t="n"/>
      <c r="AX110" s="6" t="n"/>
      <c r="AY110" s="67" t="n"/>
      <c r="AZ110" s="6" t="n"/>
      <c r="BA110" s="67" t="n"/>
      <c r="BB110" s="5" t="n"/>
      <c r="BC110" s="6" t="n"/>
      <c r="BD110" s="67" t="n"/>
      <c r="BE110" s="6" t="n"/>
      <c r="BF110" s="66" t="n"/>
      <c r="BG110" s="5" t="n"/>
      <c r="BH110" s="6" t="n"/>
      <c r="BI110" s="68" t="n"/>
      <c r="BJ110" s="5" t="n"/>
      <c r="BK110" s="42" t="n"/>
    </row>
    <row r="111" ht="20" customHeight="1">
      <c r="A111" s="61" t="n"/>
      <c r="B111" s="6" t="n"/>
      <c r="C111" s="62" t="n"/>
      <c r="D111" s="5" t="n"/>
      <c r="E111" s="5" t="n"/>
      <c r="F111" s="6" t="n"/>
      <c r="G111" s="62" t="n"/>
      <c r="H111" s="5" t="n"/>
      <c r="I111" s="6" t="n"/>
      <c r="J111" s="62" t="n"/>
      <c r="K111" s="5" t="n"/>
      <c r="L111" s="6" t="n"/>
      <c r="M111" s="62" t="n"/>
      <c r="N111" s="5" t="n"/>
      <c r="O111" s="5" t="n"/>
      <c r="P111" s="5" t="n"/>
      <c r="Q111" s="6" t="n"/>
      <c r="R111" s="62" t="n"/>
      <c r="S111" s="5" t="n"/>
      <c r="T111" s="5" t="n"/>
      <c r="U111" s="5" t="n"/>
      <c r="V111" s="5" t="n"/>
      <c r="W111" s="5" t="n"/>
      <c r="X111" s="6" t="n"/>
      <c r="Y111" s="62" t="n"/>
      <c r="Z111" s="5" t="n"/>
      <c r="AA111" s="5" t="n"/>
      <c r="AB111" s="5" t="n"/>
      <c r="AC111" s="5" t="n"/>
      <c r="AD111" s="6" t="n"/>
      <c r="AE111" s="63" t="n"/>
      <c r="AF111" s="6" t="n"/>
      <c r="AG111" s="63" t="n"/>
      <c r="AH111" s="6" t="n"/>
      <c r="AI111" s="63" t="n"/>
      <c r="AJ111" s="6" t="n"/>
      <c r="AK111" s="63" t="n"/>
      <c r="AL111" s="6" t="n"/>
      <c r="AM111" s="63" t="n"/>
      <c r="AN111" s="5" t="n"/>
      <c r="AO111" s="6" t="n"/>
      <c r="AP111" s="63" t="n"/>
      <c r="AQ111" s="6" t="n"/>
      <c r="AR111" s="62" t="n"/>
      <c r="AS111" s="5" t="n"/>
      <c r="AT111" s="6" t="n"/>
      <c r="AU111" s="63" t="n"/>
      <c r="AV111" s="6" t="n"/>
      <c r="AW111" s="63" t="n"/>
      <c r="AX111" s="6" t="n"/>
      <c r="AY111" s="63" t="n"/>
      <c r="AZ111" s="6" t="n"/>
      <c r="BA111" s="63" t="n"/>
      <c r="BB111" s="5" t="n"/>
      <c r="BC111" s="6" t="n"/>
      <c r="BD111" s="63" t="n"/>
      <c r="BE111" s="6" t="n"/>
      <c r="BF111" s="62" t="n"/>
      <c r="BG111" s="5" t="n"/>
      <c r="BH111" s="6" t="n"/>
      <c r="BI111" s="64" t="n"/>
      <c r="BJ111" s="5" t="n"/>
      <c r="BK111" s="42" t="n"/>
    </row>
    <row r="112" ht="20" customHeight="1">
      <c r="A112" s="65" t="n"/>
      <c r="B112" s="6" t="n"/>
      <c r="C112" s="66" t="n"/>
      <c r="D112" s="5" t="n"/>
      <c r="E112" s="5" t="n"/>
      <c r="F112" s="6" t="n"/>
      <c r="G112" s="66" t="n"/>
      <c r="H112" s="5" t="n"/>
      <c r="I112" s="6" t="n"/>
      <c r="J112" s="66" t="n"/>
      <c r="K112" s="5" t="n"/>
      <c r="L112" s="6" t="n"/>
      <c r="M112" s="66" t="n"/>
      <c r="N112" s="5" t="n"/>
      <c r="O112" s="5" t="n"/>
      <c r="P112" s="5" t="n"/>
      <c r="Q112" s="6" t="n"/>
      <c r="R112" s="66" t="n"/>
      <c r="S112" s="5" t="n"/>
      <c r="T112" s="5" t="n"/>
      <c r="U112" s="5" t="n"/>
      <c r="V112" s="5" t="n"/>
      <c r="W112" s="5" t="n"/>
      <c r="X112" s="6" t="n"/>
      <c r="Y112" s="66" t="n"/>
      <c r="Z112" s="5" t="n"/>
      <c r="AA112" s="5" t="n"/>
      <c r="AB112" s="5" t="n"/>
      <c r="AC112" s="5" t="n"/>
      <c r="AD112" s="6" t="n"/>
      <c r="AE112" s="67" t="n"/>
      <c r="AF112" s="6" t="n"/>
      <c r="AG112" s="67" t="n"/>
      <c r="AH112" s="6" t="n"/>
      <c r="AI112" s="67" t="n"/>
      <c r="AJ112" s="6" t="n"/>
      <c r="AK112" s="67" t="n"/>
      <c r="AL112" s="6" t="n"/>
      <c r="AM112" s="67" t="n"/>
      <c r="AN112" s="5" t="n"/>
      <c r="AO112" s="6" t="n"/>
      <c r="AP112" s="67" t="n"/>
      <c r="AQ112" s="6" t="n"/>
      <c r="AR112" s="66" t="n"/>
      <c r="AS112" s="5" t="n"/>
      <c r="AT112" s="6" t="n"/>
      <c r="AU112" s="67" t="n"/>
      <c r="AV112" s="6" t="n"/>
      <c r="AW112" s="67" t="n"/>
      <c r="AX112" s="6" t="n"/>
      <c r="AY112" s="67" t="n"/>
      <c r="AZ112" s="6" t="n"/>
      <c r="BA112" s="67" t="n"/>
      <c r="BB112" s="5" t="n"/>
      <c r="BC112" s="6" t="n"/>
      <c r="BD112" s="67" t="n"/>
      <c r="BE112" s="6" t="n"/>
      <c r="BF112" s="66" t="n"/>
      <c r="BG112" s="5" t="n"/>
      <c r="BH112" s="6" t="n"/>
      <c r="BI112" s="68" t="n"/>
      <c r="BJ112" s="5" t="n"/>
      <c r="BK112" s="42" t="n"/>
    </row>
    <row r="113" ht="20" customHeight="1">
      <c r="A113" s="61" t="n"/>
      <c r="B113" s="6" t="n"/>
      <c r="C113" s="62" t="n"/>
      <c r="D113" s="5" t="n"/>
      <c r="E113" s="5" t="n"/>
      <c r="F113" s="6" t="n"/>
      <c r="G113" s="62" t="n"/>
      <c r="H113" s="5" t="n"/>
      <c r="I113" s="6" t="n"/>
      <c r="J113" s="62" t="n"/>
      <c r="K113" s="5" t="n"/>
      <c r="L113" s="6" t="n"/>
      <c r="M113" s="62" t="n"/>
      <c r="N113" s="5" t="n"/>
      <c r="O113" s="5" t="n"/>
      <c r="P113" s="5" t="n"/>
      <c r="Q113" s="6" t="n"/>
      <c r="R113" s="62" t="n"/>
      <c r="S113" s="5" t="n"/>
      <c r="T113" s="5" t="n"/>
      <c r="U113" s="5" t="n"/>
      <c r="V113" s="5" t="n"/>
      <c r="W113" s="5" t="n"/>
      <c r="X113" s="6" t="n"/>
      <c r="Y113" s="62" t="n"/>
      <c r="Z113" s="5" t="n"/>
      <c r="AA113" s="5" t="n"/>
      <c r="AB113" s="5" t="n"/>
      <c r="AC113" s="5" t="n"/>
      <c r="AD113" s="6" t="n"/>
      <c r="AE113" s="63" t="n"/>
      <c r="AF113" s="6" t="n"/>
      <c r="AG113" s="63" t="n"/>
      <c r="AH113" s="6" t="n"/>
      <c r="AI113" s="63" t="n"/>
      <c r="AJ113" s="6" t="n"/>
      <c r="AK113" s="63" t="n"/>
      <c r="AL113" s="6" t="n"/>
      <c r="AM113" s="63" t="n"/>
      <c r="AN113" s="5" t="n"/>
      <c r="AO113" s="6" t="n"/>
      <c r="AP113" s="63" t="n"/>
      <c r="AQ113" s="6" t="n"/>
      <c r="AR113" s="62" t="n"/>
      <c r="AS113" s="5" t="n"/>
      <c r="AT113" s="6" t="n"/>
      <c r="AU113" s="63" t="n"/>
      <c r="AV113" s="6" t="n"/>
      <c r="AW113" s="63" t="n"/>
      <c r="AX113" s="6" t="n"/>
      <c r="AY113" s="63" t="n"/>
      <c r="AZ113" s="6" t="n"/>
      <c r="BA113" s="63" t="n"/>
      <c r="BB113" s="5" t="n"/>
      <c r="BC113" s="6" t="n"/>
      <c r="BD113" s="63" t="n"/>
      <c r="BE113" s="6" t="n"/>
      <c r="BF113" s="62" t="n"/>
      <c r="BG113" s="5" t="n"/>
      <c r="BH113" s="6" t="n"/>
      <c r="BI113" s="64" t="n"/>
      <c r="BJ113" s="5" t="n"/>
      <c r="BK113" s="42" t="n"/>
    </row>
    <row r="114" ht="20" customHeight="1">
      <c r="A114" s="65" t="n"/>
      <c r="B114" s="6" t="n"/>
      <c r="C114" s="66" t="n"/>
      <c r="D114" s="5" t="n"/>
      <c r="E114" s="5" t="n"/>
      <c r="F114" s="6" t="n"/>
      <c r="G114" s="66" t="n"/>
      <c r="H114" s="5" t="n"/>
      <c r="I114" s="6" t="n"/>
      <c r="J114" s="66" t="n"/>
      <c r="K114" s="5" t="n"/>
      <c r="L114" s="6" t="n"/>
      <c r="M114" s="66" t="n"/>
      <c r="N114" s="5" t="n"/>
      <c r="O114" s="5" t="n"/>
      <c r="P114" s="5" t="n"/>
      <c r="Q114" s="6" t="n"/>
      <c r="R114" s="66" t="n"/>
      <c r="S114" s="5" t="n"/>
      <c r="T114" s="5" t="n"/>
      <c r="U114" s="5" t="n"/>
      <c r="V114" s="5" t="n"/>
      <c r="W114" s="5" t="n"/>
      <c r="X114" s="6" t="n"/>
      <c r="Y114" s="66" t="n"/>
      <c r="Z114" s="5" t="n"/>
      <c r="AA114" s="5" t="n"/>
      <c r="AB114" s="5" t="n"/>
      <c r="AC114" s="5" t="n"/>
      <c r="AD114" s="6" t="n"/>
      <c r="AE114" s="67" t="n"/>
      <c r="AF114" s="6" t="n"/>
      <c r="AG114" s="67" t="n"/>
      <c r="AH114" s="6" t="n"/>
      <c r="AI114" s="67" t="n"/>
      <c r="AJ114" s="6" t="n"/>
      <c r="AK114" s="67" t="n"/>
      <c r="AL114" s="6" t="n"/>
      <c r="AM114" s="67" t="n"/>
      <c r="AN114" s="5" t="n"/>
      <c r="AO114" s="6" t="n"/>
      <c r="AP114" s="67" t="n"/>
      <c r="AQ114" s="6" t="n"/>
      <c r="AR114" s="66" t="n"/>
      <c r="AS114" s="5" t="n"/>
      <c r="AT114" s="6" t="n"/>
      <c r="AU114" s="67" t="n"/>
      <c r="AV114" s="6" t="n"/>
      <c r="AW114" s="67" t="n"/>
      <c r="AX114" s="6" t="n"/>
      <c r="AY114" s="67" t="n"/>
      <c r="AZ114" s="6" t="n"/>
      <c r="BA114" s="67" t="n"/>
      <c r="BB114" s="5" t="n"/>
      <c r="BC114" s="6" t="n"/>
      <c r="BD114" s="67" t="n"/>
      <c r="BE114" s="6" t="n"/>
      <c r="BF114" s="66" t="n"/>
      <c r="BG114" s="5" t="n"/>
      <c r="BH114" s="6" t="n"/>
      <c r="BI114" s="68" t="n"/>
      <c r="BJ114" s="5" t="n"/>
      <c r="BK114" s="42" t="n"/>
    </row>
    <row r="115" ht="20" customHeight="1">
      <c r="A115" s="61" t="n"/>
      <c r="B115" s="6" t="n"/>
      <c r="C115" s="62" t="n"/>
      <c r="D115" s="5" t="n"/>
      <c r="E115" s="5" t="n"/>
      <c r="F115" s="6" t="n"/>
      <c r="G115" s="62" t="n"/>
      <c r="H115" s="5" t="n"/>
      <c r="I115" s="6" t="n"/>
      <c r="J115" s="62" t="n"/>
      <c r="K115" s="5" t="n"/>
      <c r="L115" s="6" t="n"/>
      <c r="M115" s="62" t="n"/>
      <c r="N115" s="5" t="n"/>
      <c r="O115" s="5" t="n"/>
      <c r="P115" s="5" t="n"/>
      <c r="Q115" s="6" t="n"/>
      <c r="R115" s="62" t="n"/>
      <c r="S115" s="5" t="n"/>
      <c r="T115" s="5" t="n"/>
      <c r="U115" s="5" t="n"/>
      <c r="V115" s="5" t="n"/>
      <c r="W115" s="5" t="n"/>
      <c r="X115" s="6" t="n"/>
      <c r="Y115" s="62" t="n"/>
      <c r="Z115" s="5" t="n"/>
      <c r="AA115" s="5" t="n"/>
      <c r="AB115" s="5" t="n"/>
      <c r="AC115" s="5" t="n"/>
      <c r="AD115" s="6" t="n"/>
      <c r="AE115" s="63" t="n"/>
      <c r="AF115" s="6" t="n"/>
      <c r="AG115" s="63" t="n"/>
      <c r="AH115" s="6" t="n"/>
      <c r="AI115" s="63" t="n"/>
      <c r="AJ115" s="6" t="n"/>
      <c r="AK115" s="63" t="n"/>
      <c r="AL115" s="6" t="n"/>
      <c r="AM115" s="63" t="n"/>
      <c r="AN115" s="5" t="n"/>
      <c r="AO115" s="6" t="n"/>
      <c r="AP115" s="63" t="n"/>
      <c r="AQ115" s="6" t="n"/>
      <c r="AR115" s="62" t="n"/>
      <c r="AS115" s="5" t="n"/>
      <c r="AT115" s="6" t="n"/>
      <c r="AU115" s="63" t="n"/>
      <c r="AV115" s="6" t="n"/>
      <c r="AW115" s="63" t="n"/>
      <c r="AX115" s="6" t="n"/>
      <c r="AY115" s="63" t="n"/>
      <c r="AZ115" s="6" t="n"/>
      <c r="BA115" s="63" t="n"/>
      <c r="BB115" s="5" t="n"/>
      <c r="BC115" s="6" t="n"/>
      <c r="BD115" s="63" t="n"/>
      <c r="BE115" s="6" t="n"/>
      <c r="BF115" s="62" t="n"/>
      <c r="BG115" s="5" t="n"/>
      <c r="BH115" s="6" t="n"/>
      <c r="BI115" s="64" t="n"/>
      <c r="BJ115" s="5" t="n"/>
      <c r="BK115" s="42" t="n"/>
    </row>
    <row r="116" ht="20" customHeight="1">
      <c r="A116" s="65" t="n"/>
      <c r="B116" s="6" t="n"/>
      <c r="C116" s="66" t="n"/>
      <c r="D116" s="5" t="n"/>
      <c r="E116" s="5" t="n"/>
      <c r="F116" s="6" t="n"/>
      <c r="G116" s="66" t="n"/>
      <c r="H116" s="5" t="n"/>
      <c r="I116" s="6" t="n"/>
      <c r="J116" s="66" t="n"/>
      <c r="K116" s="5" t="n"/>
      <c r="L116" s="6" t="n"/>
      <c r="M116" s="66" t="n"/>
      <c r="N116" s="5" t="n"/>
      <c r="O116" s="5" t="n"/>
      <c r="P116" s="5" t="n"/>
      <c r="Q116" s="6" t="n"/>
      <c r="R116" s="66" t="n"/>
      <c r="S116" s="5" t="n"/>
      <c r="T116" s="5" t="n"/>
      <c r="U116" s="5" t="n"/>
      <c r="V116" s="5" t="n"/>
      <c r="W116" s="5" t="n"/>
      <c r="X116" s="6" t="n"/>
      <c r="Y116" s="66" t="n"/>
      <c r="Z116" s="5" t="n"/>
      <c r="AA116" s="5" t="n"/>
      <c r="AB116" s="5" t="n"/>
      <c r="AC116" s="5" t="n"/>
      <c r="AD116" s="6" t="n"/>
      <c r="AE116" s="67" t="n"/>
      <c r="AF116" s="6" t="n"/>
      <c r="AG116" s="67" t="n"/>
      <c r="AH116" s="6" t="n"/>
      <c r="AI116" s="67" t="n"/>
      <c r="AJ116" s="6" t="n"/>
      <c r="AK116" s="67" t="n"/>
      <c r="AL116" s="6" t="n"/>
      <c r="AM116" s="67" t="n"/>
      <c r="AN116" s="5" t="n"/>
      <c r="AO116" s="6" t="n"/>
      <c r="AP116" s="67" t="n"/>
      <c r="AQ116" s="6" t="n"/>
      <c r="AR116" s="66" t="n"/>
      <c r="AS116" s="5" t="n"/>
      <c r="AT116" s="6" t="n"/>
      <c r="AU116" s="67" t="n"/>
      <c r="AV116" s="6" t="n"/>
      <c r="AW116" s="67" t="n"/>
      <c r="AX116" s="6" t="n"/>
      <c r="AY116" s="67" t="n"/>
      <c r="AZ116" s="6" t="n"/>
      <c r="BA116" s="67" t="n"/>
      <c r="BB116" s="5" t="n"/>
      <c r="BC116" s="6" t="n"/>
      <c r="BD116" s="67" t="n"/>
      <c r="BE116" s="6" t="n"/>
      <c r="BF116" s="66" t="n"/>
      <c r="BG116" s="5" t="n"/>
      <c r="BH116" s="6" t="n"/>
      <c r="BI116" s="68" t="n"/>
      <c r="BJ116" s="5" t="n"/>
      <c r="BK116" s="42" t="n"/>
    </row>
    <row r="117" ht="20" customHeight="1">
      <c r="A117" s="61" t="n"/>
      <c r="B117" s="6" t="n"/>
      <c r="C117" s="62" t="n"/>
      <c r="D117" s="5" t="n"/>
      <c r="E117" s="5" t="n"/>
      <c r="F117" s="6" t="n"/>
      <c r="G117" s="62" t="n"/>
      <c r="H117" s="5" t="n"/>
      <c r="I117" s="6" t="n"/>
      <c r="J117" s="62" t="n"/>
      <c r="K117" s="5" t="n"/>
      <c r="L117" s="6" t="n"/>
      <c r="M117" s="62" t="n"/>
      <c r="N117" s="5" t="n"/>
      <c r="O117" s="5" t="n"/>
      <c r="P117" s="5" t="n"/>
      <c r="Q117" s="6" t="n"/>
      <c r="R117" s="62" t="n"/>
      <c r="S117" s="5" t="n"/>
      <c r="T117" s="5" t="n"/>
      <c r="U117" s="5" t="n"/>
      <c r="V117" s="5" t="n"/>
      <c r="W117" s="5" t="n"/>
      <c r="X117" s="6" t="n"/>
      <c r="Y117" s="62" t="n"/>
      <c r="Z117" s="5" t="n"/>
      <c r="AA117" s="5" t="n"/>
      <c r="AB117" s="5" t="n"/>
      <c r="AC117" s="5" t="n"/>
      <c r="AD117" s="6" t="n"/>
      <c r="AE117" s="63" t="n"/>
      <c r="AF117" s="6" t="n"/>
      <c r="AG117" s="63" t="n"/>
      <c r="AH117" s="6" t="n"/>
      <c r="AI117" s="63" t="n"/>
      <c r="AJ117" s="6" t="n"/>
      <c r="AK117" s="63" t="n"/>
      <c r="AL117" s="6" t="n"/>
      <c r="AM117" s="63" t="n"/>
      <c r="AN117" s="5" t="n"/>
      <c r="AO117" s="6" t="n"/>
      <c r="AP117" s="63" t="n"/>
      <c r="AQ117" s="6" t="n"/>
      <c r="AR117" s="62" t="n"/>
      <c r="AS117" s="5" t="n"/>
      <c r="AT117" s="6" t="n"/>
      <c r="AU117" s="63" t="n"/>
      <c r="AV117" s="6" t="n"/>
      <c r="AW117" s="63" t="n"/>
      <c r="AX117" s="6" t="n"/>
      <c r="AY117" s="63" t="n"/>
      <c r="AZ117" s="6" t="n"/>
      <c r="BA117" s="63" t="n"/>
      <c r="BB117" s="5" t="n"/>
      <c r="BC117" s="6" t="n"/>
      <c r="BD117" s="63" t="n"/>
      <c r="BE117" s="6" t="n"/>
      <c r="BF117" s="62" t="n"/>
      <c r="BG117" s="5" t="n"/>
      <c r="BH117" s="6" t="n"/>
      <c r="BI117" s="64" t="n"/>
      <c r="BJ117" s="5" t="n"/>
      <c r="BK117" s="42" t="n"/>
    </row>
    <row r="118" ht="20" customHeight="1">
      <c r="A118" s="65" t="n"/>
      <c r="B118" s="6" t="n"/>
      <c r="C118" s="66" t="n"/>
      <c r="D118" s="5" t="n"/>
      <c r="E118" s="5" t="n"/>
      <c r="F118" s="6" t="n"/>
      <c r="G118" s="66" t="n"/>
      <c r="H118" s="5" t="n"/>
      <c r="I118" s="6" t="n"/>
      <c r="J118" s="66" t="n"/>
      <c r="K118" s="5" t="n"/>
      <c r="L118" s="6" t="n"/>
      <c r="M118" s="66" t="n"/>
      <c r="N118" s="5" t="n"/>
      <c r="O118" s="5" t="n"/>
      <c r="P118" s="5" t="n"/>
      <c r="Q118" s="6" t="n"/>
      <c r="R118" s="66" t="n"/>
      <c r="S118" s="5" t="n"/>
      <c r="T118" s="5" t="n"/>
      <c r="U118" s="5" t="n"/>
      <c r="V118" s="5" t="n"/>
      <c r="W118" s="5" t="n"/>
      <c r="X118" s="6" t="n"/>
      <c r="Y118" s="66" t="n"/>
      <c r="Z118" s="5" t="n"/>
      <c r="AA118" s="5" t="n"/>
      <c r="AB118" s="5" t="n"/>
      <c r="AC118" s="5" t="n"/>
      <c r="AD118" s="6" t="n"/>
      <c r="AE118" s="67" t="n"/>
      <c r="AF118" s="6" t="n"/>
      <c r="AG118" s="67" t="n"/>
      <c r="AH118" s="6" t="n"/>
      <c r="AI118" s="67" t="n"/>
      <c r="AJ118" s="6" t="n"/>
      <c r="AK118" s="67" t="n"/>
      <c r="AL118" s="6" t="n"/>
      <c r="AM118" s="67" t="n"/>
      <c r="AN118" s="5" t="n"/>
      <c r="AO118" s="6" t="n"/>
      <c r="AP118" s="67" t="n"/>
      <c r="AQ118" s="6" t="n"/>
      <c r="AR118" s="66" t="n"/>
      <c r="AS118" s="5" t="n"/>
      <c r="AT118" s="6" t="n"/>
      <c r="AU118" s="67" t="n"/>
      <c r="AV118" s="6" t="n"/>
      <c r="AW118" s="67" t="n"/>
      <c r="AX118" s="6" t="n"/>
      <c r="AY118" s="67" t="n"/>
      <c r="AZ118" s="6" t="n"/>
      <c r="BA118" s="67" t="n"/>
      <c r="BB118" s="5" t="n"/>
      <c r="BC118" s="6" t="n"/>
      <c r="BD118" s="67" t="n"/>
      <c r="BE118" s="6" t="n"/>
      <c r="BF118" s="66" t="n"/>
      <c r="BG118" s="5" t="n"/>
      <c r="BH118" s="6" t="n"/>
      <c r="BI118" s="68" t="n"/>
      <c r="BJ118" s="5" t="n"/>
      <c r="BK118" s="42" t="n"/>
    </row>
    <row r="119" ht="20" customHeight="1">
      <c r="A119" s="61" t="n"/>
      <c r="B119" s="6" t="n"/>
      <c r="C119" s="62" t="n"/>
      <c r="D119" s="5" t="n"/>
      <c r="E119" s="5" t="n"/>
      <c r="F119" s="6" t="n"/>
      <c r="G119" s="62" t="n"/>
      <c r="H119" s="5" t="n"/>
      <c r="I119" s="6" t="n"/>
      <c r="J119" s="62" t="n"/>
      <c r="K119" s="5" t="n"/>
      <c r="L119" s="6" t="n"/>
      <c r="M119" s="62" t="n"/>
      <c r="N119" s="5" t="n"/>
      <c r="O119" s="5" t="n"/>
      <c r="P119" s="5" t="n"/>
      <c r="Q119" s="6" t="n"/>
      <c r="R119" s="62" t="n"/>
      <c r="S119" s="5" t="n"/>
      <c r="T119" s="5" t="n"/>
      <c r="U119" s="5" t="n"/>
      <c r="V119" s="5" t="n"/>
      <c r="W119" s="5" t="n"/>
      <c r="X119" s="6" t="n"/>
      <c r="Y119" s="62" t="n"/>
      <c r="Z119" s="5" t="n"/>
      <c r="AA119" s="5" t="n"/>
      <c r="AB119" s="5" t="n"/>
      <c r="AC119" s="5" t="n"/>
      <c r="AD119" s="6" t="n"/>
      <c r="AE119" s="63" t="n"/>
      <c r="AF119" s="6" t="n"/>
      <c r="AG119" s="63" t="n"/>
      <c r="AH119" s="6" t="n"/>
      <c r="AI119" s="63" t="n"/>
      <c r="AJ119" s="6" t="n"/>
      <c r="AK119" s="63" t="n"/>
      <c r="AL119" s="6" t="n"/>
      <c r="AM119" s="63" t="n"/>
      <c r="AN119" s="5" t="n"/>
      <c r="AO119" s="6" t="n"/>
      <c r="AP119" s="63" t="n"/>
      <c r="AQ119" s="6" t="n"/>
      <c r="AR119" s="62" t="n"/>
      <c r="AS119" s="5" t="n"/>
      <c r="AT119" s="6" t="n"/>
      <c r="AU119" s="63" t="n"/>
      <c r="AV119" s="6" t="n"/>
      <c r="AW119" s="63" t="n"/>
      <c r="AX119" s="6" t="n"/>
      <c r="AY119" s="63" t="n"/>
      <c r="AZ119" s="6" t="n"/>
      <c r="BA119" s="63" t="n"/>
      <c r="BB119" s="5" t="n"/>
      <c r="BC119" s="6" t="n"/>
      <c r="BD119" s="63" t="n"/>
      <c r="BE119" s="6" t="n"/>
      <c r="BF119" s="62" t="n"/>
      <c r="BG119" s="5" t="n"/>
      <c r="BH119" s="6" t="n"/>
      <c r="BI119" s="64" t="n"/>
      <c r="BJ119" s="5" t="n"/>
      <c r="BK119" s="42" t="n"/>
    </row>
    <row r="120" ht="20" customHeight="1">
      <c r="A120" s="65" t="n"/>
      <c r="B120" s="6" t="n"/>
      <c r="C120" s="66" t="n"/>
      <c r="D120" s="5" t="n"/>
      <c r="E120" s="5" t="n"/>
      <c r="F120" s="6" t="n"/>
      <c r="G120" s="66" t="n"/>
      <c r="H120" s="5" t="n"/>
      <c r="I120" s="6" t="n"/>
      <c r="J120" s="66" t="n"/>
      <c r="K120" s="5" t="n"/>
      <c r="L120" s="6" t="n"/>
      <c r="M120" s="66" t="n"/>
      <c r="N120" s="5" t="n"/>
      <c r="O120" s="5" t="n"/>
      <c r="P120" s="5" t="n"/>
      <c r="Q120" s="6" t="n"/>
      <c r="R120" s="66" t="n"/>
      <c r="S120" s="5" t="n"/>
      <c r="T120" s="5" t="n"/>
      <c r="U120" s="5" t="n"/>
      <c r="V120" s="5" t="n"/>
      <c r="W120" s="5" t="n"/>
      <c r="X120" s="6" t="n"/>
      <c r="Y120" s="66" t="n"/>
      <c r="Z120" s="5" t="n"/>
      <c r="AA120" s="5" t="n"/>
      <c r="AB120" s="5" t="n"/>
      <c r="AC120" s="5" t="n"/>
      <c r="AD120" s="6" t="n"/>
      <c r="AE120" s="67" t="n"/>
      <c r="AF120" s="6" t="n"/>
      <c r="AG120" s="67" t="n"/>
      <c r="AH120" s="6" t="n"/>
      <c r="AI120" s="67" t="n"/>
      <c r="AJ120" s="6" t="n"/>
      <c r="AK120" s="67" t="n"/>
      <c r="AL120" s="6" t="n"/>
      <c r="AM120" s="67" t="n"/>
      <c r="AN120" s="5" t="n"/>
      <c r="AO120" s="6" t="n"/>
      <c r="AP120" s="67" t="n"/>
      <c r="AQ120" s="6" t="n"/>
      <c r="AR120" s="66" t="n"/>
      <c r="AS120" s="5" t="n"/>
      <c r="AT120" s="6" t="n"/>
      <c r="AU120" s="67" t="n"/>
      <c r="AV120" s="6" t="n"/>
      <c r="AW120" s="67" t="n"/>
      <c r="AX120" s="6" t="n"/>
      <c r="AY120" s="67" t="n"/>
      <c r="AZ120" s="6" t="n"/>
      <c r="BA120" s="67" t="n"/>
      <c r="BB120" s="5" t="n"/>
      <c r="BC120" s="6" t="n"/>
      <c r="BD120" s="67" t="n"/>
      <c r="BE120" s="6" t="n"/>
      <c r="BF120" s="66" t="n"/>
      <c r="BG120" s="5" t="n"/>
      <c r="BH120" s="6" t="n"/>
      <c r="BI120" s="68" t="n"/>
      <c r="BJ120" s="5" t="n"/>
      <c r="BK120" s="42" t="n"/>
    </row>
    <row r="121" ht="20" customHeight="1">
      <c r="A121" s="61" t="n"/>
      <c r="B121" s="6" t="n"/>
      <c r="C121" s="62" t="n"/>
      <c r="D121" s="5" t="n"/>
      <c r="E121" s="5" t="n"/>
      <c r="F121" s="6" t="n"/>
      <c r="G121" s="62" t="n"/>
      <c r="H121" s="5" t="n"/>
      <c r="I121" s="6" t="n"/>
      <c r="J121" s="62" t="n"/>
      <c r="K121" s="5" t="n"/>
      <c r="L121" s="6" t="n"/>
      <c r="M121" s="62" t="n"/>
      <c r="N121" s="5" t="n"/>
      <c r="O121" s="5" t="n"/>
      <c r="P121" s="5" t="n"/>
      <c r="Q121" s="6" t="n"/>
      <c r="R121" s="62" t="n"/>
      <c r="S121" s="5" t="n"/>
      <c r="T121" s="5" t="n"/>
      <c r="U121" s="5" t="n"/>
      <c r="V121" s="5" t="n"/>
      <c r="W121" s="5" t="n"/>
      <c r="X121" s="6" t="n"/>
      <c r="Y121" s="62" t="n"/>
      <c r="Z121" s="5" t="n"/>
      <c r="AA121" s="5" t="n"/>
      <c r="AB121" s="5" t="n"/>
      <c r="AC121" s="5" t="n"/>
      <c r="AD121" s="6" t="n"/>
      <c r="AE121" s="63" t="n"/>
      <c r="AF121" s="6" t="n"/>
      <c r="AG121" s="63" t="n"/>
      <c r="AH121" s="6" t="n"/>
      <c r="AI121" s="63" t="n"/>
      <c r="AJ121" s="6" t="n"/>
      <c r="AK121" s="63" t="n"/>
      <c r="AL121" s="6" t="n"/>
      <c r="AM121" s="63" t="n"/>
      <c r="AN121" s="5" t="n"/>
      <c r="AO121" s="6" t="n"/>
      <c r="AP121" s="63" t="n"/>
      <c r="AQ121" s="6" t="n"/>
      <c r="AR121" s="62" t="n"/>
      <c r="AS121" s="5" t="n"/>
      <c r="AT121" s="6" t="n"/>
      <c r="AU121" s="63" t="n"/>
      <c r="AV121" s="6" t="n"/>
      <c r="AW121" s="63" t="n"/>
      <c r="AX121" s="6" t="n"/>
      <c r="AY121" s="63" t="n"/>
      <c r="AZ121" s="6" t="n"/>
      <c r="BA121" s="63" t="n"/>
      <c r="BB121" s="5" t="n"/>
      <c r="BC121" s="6" t="n"/>
      <c r="BD121" s="63" t="n"/>
      <c r="BE121" s="6" t="n"/>
      <c r="BF121" s="62" t="n"/>
      <c r="BG121" s="5" t="n"/>
      <c r="BH121" s="6" t="n"/>
      <c r="BI121" s="64" t="n"/>
      <c r="BJ121" s="5" t="n"/>
      <c r="BK121" s="42" t="n"/>
    </row>
    <row r="122" ht="20" customHeight="1">
      <c r="A122" s="65" t="n"/>
      <c r="B122" s="6" t="n"/>
      <c r="C122" s="66" t="n"/>
      <c r="D122" s="5" t="n"/>
      <c r="E122" s="5" t="n"/>
      <c r="F122" s="6" t="n"/>
      <c r="G122" s="66" t="n"/>
      <c r="H122" s="5" t="n"/>
      <c r="I122" s="6" t="n"/>
      <c r="J122" s="66" t="n"/>
      <c r="K122" s="5" t="n"/>
      <c r="L122" s="6" t="n"/>
      <c r="M122" s="66" t="n"/>
      <c r="N122" s="5" t="n"/>
      <c r="O122" s="5" t="n"/>
      <c r="P122" s="5" t="n"/>
      <c r="Q122" s="6" t="n"/>
      <c r="R122" s="66" t="n"/>
      <c r="S122" s="5" t="n"/>
      <c r="T122" s="5" t="n"/>
      <c r="U122" s="5" t="n"/>
      <c r="V122" s="5" t="n"/>
      <c r="W122" s="5" t="n"/>
      <c r="X122" s="6" t="n"/>
      <c r="Y122" s="66" t="n"/>
      <c r="Z122" s="5" t="n"/>
      <c r="AA122" s="5" t="n"/>
      <c r="AB122" s="5" t="n"/>
      <c r="AC122" s="5" t="n"/>
      <c r="AD122" s="6" t="n"/>
      <c r="AE122" s="67" t="n"/>
      <c r="AF122" s="6" t="n"/>
      <c r="AG122" s="67" t="n"/>
      <c r="AH122" s="6" t="n"/>
      <c r="AI122" s="67" t="n"/>
      <c r="AJ122" s="6" t="n"/>
      <c r="AK122" s="67" t="n"/>
      <c r="AL122" s="6" t="n"/>
      <c r="AM122" s="67" t="n"/>
      <c r="AN122" s="5" t="n"/>
      <c r="AO122" s="6" t="n"/>
      <c r="AP122" s="67" t="n"/>
      <c r="AQ122" s="6" t="n"/>
      <c r="AR122" s="66" t="n"/>
      <c r="AS122" s="5" t="n"/>
      <c r="AT122" s="6" t="n"/>
      <c r="AU122" s="67" t="n"/>
      <c r="AV122" s="6" t="n"/>
      <c r="AW122" s="67" t="n"/>
      <c r="AX122" s="6" t="n"/>
      <c r="AY122" s="67" t="n"/>
      <c r="AZ122" s="6" t="n"/>
      <c r="BA122" s="67" t="n"/>
      <c r="BB122" s="5" t="n"/>
      <c r="BC122" s="6" t="n"/>
      <c r="BD122" s="67" t="n"/>
      <c r="BE122" s="6" t="n"/>
      <c r="BF122" s="66" t="n"/>
      <c r="BG122" s="5" t="n"/>
      <c r="BH122" s="6" t="n"/>
      <c r="BI122" s="68" t="n"/>
      <c r="BJ122" s="5" t="n"/>
      <c r="BK122" s="42" t="n"/>
    </row>
    <row r="123" ht="20" customHeight="1">
      <c r="A123" s="61" t="n"/>
      <c r="B123" s="6" t="n"/>
      <c r="C123" s="62" t="n"/>
      <c r="D123" s="5" t="n"/>
      <c r="E123" s="5" t="n"/>
      <c r="F123" s="6" t="n"/>
      <c r="G123" s="62" t="n"/>
      <c r="H123" s="5" t="n"/>
      <c r="I123" s="6" t="n"/>
      <c r="J123" s="62" t="n"/>
      <c r="K123" s="5" t="n"/>
      <c r="L123" s="6" t="n"/>
      <c r="M123" s="62" t="n"/>
      <c r="N123" s="5" t="n"/>
      <c r="O123" s="5" t="n"/>
      <c r="P123" s="5" t="n"/>
      <c r="Q123" s="6" t="n"/>
      <c r="R123" s="62" t="n"/>
      <c r="S123" s="5" t="n"/>
      <c r="T123" s="5" t="n"/>
      <c r="U123" s="5" t="n"/>
      <c r="V123" s="5" t="n"/>
      <c r="W123" s="5" t="n"/>
      <c r="X123" s="6" t="n"/>
      <c r="Y123" s="62" t="n"/>
      <c r="Z123" s="5" t="n"/>
      <c r="AA123" s="5" t="n"/>
      <c r="AB123" s="5" t="n"/>
      <c r="AC123" s="5" t="n"/>
      <c r="AD123" s="6" t="n"/>
      <c r="AE123" s="63" t="n"/>
      <c r="AF123" s="6" t="n"/>
      <c r="AG123" s="63" t="n"/>
      <c r="AH123" s="6" t="n"/>
      <c r="AI123" s="63" t="n"/>
      <c r="AJ123" s="6" t="n"/>
      <c r="AK123" s="63" t="n"/>
      <c r="AL123" s="6" t="n"/>
      <c r="AM123" s="63" t="n"/>
      <c r="AN123" s="5" t="n"/>
      <c r="AO123" s="6" t="n"/>
      <c r="AP123" s="63" t="n"/>
      <c r="AQ123" s="6" t="n"/>
      <c r="AR123" s="62" t="n"/>
      <c r="AS123" s="5" t="n"/>
      <c r="AT123" s="6" t="n"/>
      <c r="AU123" s="63" t="n"/>
      <c r="AV123" s="6" t="n"/>
      <c r="AW123" s="63" t="n"/>
      <c r="AX123" s="6" t="n"/>
      <c r="AY123" s="63" t="n"/>
      <c r="AZ123" s="6" t="n"/>
      <c r="BA123" s="63" t="n"/>
      <c r="BB123" s="5" t="n"/>
      <c r="BC123" s="6" t="n"/>
      <c r="BD123" s="63" t="n"/>
      <c r="BE123" s="6" t="n"/>
      <c r="BF123" s="62" t="n"/>
      <c r="BG123" s="5" t="n"/>
      <c r="BH123" s="6" t="n"/>
      <c r="BI123" s="64" t="n"/>
      <c r="BJ123" s="5" t="n"/>
      <c r="BK123" s="42" t="n"/>
    </row>
    <row r="124" ht="20" customHeight="1">
      <c r="A124" s="65" t="n"/>
      <c r="B124" s="6" t="n"/>
      <c r="C124" s="66" t="n"/>
      <c r="D124" s="5" t="n"/>
      <c r="E124" s="5" t="n"/>
      <c r="F124" s="6" t="n"/>
      <c r="G124" s="66" t="n"/>
      <c r="H124" s="5" t="n"/>
      <c r="I124" s="6" t="n"/>
      <c r="J124" s="66" t="n"/>
      <c r="K124" s="5" t="n"/>
      <c r="L124" s="6" t="n"/>
      <c r="M124" s="66" t="n"/>
      <c r="N124" s="5" t="n"/>
      <c r="O124" s="5" t="n"/>
      <c r="P124" s="5" t="n"/>
      <c r="Q124" s="6" t="n"/>
      <c r="R124" s="66" t="n"/>
      <c r="S124" s="5" t="n"/>
      <c r="T124" s="5" t="n"/>
      <c r="U124" s="5" t="n"/>
      <c r="V124" s="5" t="n"/>
      <c r="W124" s="5" t="n"/>
      <c r="X124" s="6" t="n"/>
      <c r="Y124" s="66" t="n"/>
      <c r="Z124" s="5" t="n"/>
      <c r="AA124" s="5" t="n"/>
      <c r="AB124" s="5" t="n"/>
      <c r="AC124" s="5" t="n"/>
      <c r="AD124" s="6" t="n"/>
      <c r="AE124" s="67" t="n"/>
      <c r="AF124" s="6" t="n"/>
      <c r="AG124" s="67" t="n"/>
      <c r="AH124" s="6" t="n"/>
      <c r="AI124" s="67" t="n"/>
      <c r="AJ124" s="6" t="n"/>
      <c r="AK124" s="67" t="n"/>
      <c r="AL124" s="6" t="n"/>
      <c r="AM124" s="67" t="n"/>
      <c r="AN124" s="5" t="n"/>
      <c r="AO124" s="6" t="n"/>
      <c r="AP124" s="67" t="n"/>
      <c r="AQ124" s="6" t="n"/>
      <c r="AR124" s="66" t="n"/>
      <c r="AS124" s="5" t="n"/>
      <c r="AT124" s="6" t="n"/>
      <c r="AU124" s="67" t="n"/>
      <c r="AV124" s="6" t="n"/>
      <c r="AW124" s="67" t="n"/>
      <c r="AX124" s="6" t="n"/>
      <c r="AY124" s="67" t="n"/>
      <c r="AZ124" s="6" t="n"/>
      <c r="BA124" s="67" t="n"/>
      <c r="BB124" s="5" t="n"/>
      <c r="BC124" s="6" t="n"/>
      <c r="BD124" s="67" t="n"/>
      <c r="BE124" s="6" t="n"/>
      <c r="BF124" s="66" t="n"/>
      <c r="BG124" s="5" t="n"/>
      <c r="BH124" s="6" t="n"/>
      <c r="BI124" s="68" t="n"/>
      <c r="BJ124" s="5" t="n"/>
      <c r="BK124" s="42" t="n"/>
    </row>
    <row r="125" ht="20" customHeight="1">
      <c r="A125" s="61" t="n"/>
      <c r="B125" s="6" t="n"/>
      <c r="C125" s="62" t="n"/>
      <c r="D125" s="5" t="n"/>
      <c r="E125" s="5" t="n"/>
      <c r="F125" s="6" t="n"/>
      <c r="G125" s="62" t="n"/>
      <c r="H125" s="5" t="n"/>
      <c r="I125" s="6" t="n"/>
      <c r="J125" s="62" t="n"/>
      <c r="K125" s="5" t="n"/>
      <c r="L125" s="6" t="n"/>
      <c r="M125" s="62" t="n"/>
      <c r="N125" s="5" t="n"/>
      <c r="O125" s="5" t="n"/>
      <c r="P125" s="5" t="n"/>
      <c r="Q125" s="6" t="n"/>
      <c r="R125" s="62" t="n"/>
      <c r="S125" s="5" t="n"/>
      <c r="T125" s="5" t="n"/>
      <c r="U125" s="5" t="n"/>
      <c r="V125" s="5" t="n"/>
      <c r="W125" s="5" t="n"/>
      <c r="X125" s="6" t="n"/>
      <c r="Y125" s="62" t="n"/>
      <c r="Z125" s="5" t="n"/>
      <c r="AA125" s="5" t="n"/>
      <c r="AB125" s="5" t="n"/>
      <c r="AC125" s="5" t="n"/>
      <c r="AD125" s="6" t="n"/>
      <c r="AE125" s="63" t="n"/>
      <c r="AF125" s="6" t="n"/>
      <c r="AG125" s="63" t="n"/>
      <c r="AH125" s="6" t="n"/>
      <c r="AI125" s="63" t="n"/>
      <c r="AJ125" s="6" t="n"/>
      <c r="AK125" s="63" t="n"/>
      <c r="AL125" s="6" t="n"/>
      <c r="AM125" s="63" t="n"/>
      <c r="AN125" s="5" t="n"/>
      <c r="AO125" s="6" t="n"/>
      <c r="AP125" s="63" t="n"/>
      <c r="AQ125" s="6" t="n"/>
      <c r="AR125" s="62" t="n"/>
      <c r="AS125" s="5" t="n"/>
      <c r="AT125" s="6" t="n"/>
      <c r="AU125" s="63" t="n"/>
      <c r="AV125" s="6" t="n"/>
      <c r="AW125" s="63" t="n"/>
      <c r="AX125" s="6" t="n"/>
      <c r="AY125" s="63" t="n"/>
      <c r="AZ125" s="6" t="n"/>
      <c r="BA125" s="63" t="n"/>
      <c r="BB125" s="5" t="n"/>
      <c r="BC125" s="6" t="n"/>
      <c r="BD125" s="63" t="n"/>
      <c r="BE125" s="6" t="n"/>
      <c r="BF125" s="62" t="n"/>
      <c r="BG125" s="5" t="n"/>
      <c r="BH125" s="6" t="n"/>
      <c r="BI125" s="64" t="n"/>
      <c r="BJ125" s="5" t="n"/>
      <c r="BK125" s="42" t="n"/>
    </row>
    <row r="126" ht="20" customHeight="1">
      <c r="A126" s="65" t="n"/>
      <c r="B126" s="6" t="n"/>
      <c r="C126" s="66" t="n"/>
      <c r="D126" s="5" t="n"/>
      <c r="E126" s="5" t="n"/>
      <c r="F126" s="6" t="n"/>
      <c r="G126" s="66" t="n"/>
      <c r="H126" s="5" t="n"/>
      <c r="I126" s="6" t="n"/>
      <c r="J126" s="66" t="n"/>
      <c r="K126" s="5" t="n"/>
      <c r="L126" s="6" t="n"/>
      <c r="M126" s="66" t="n"/>
      <c r="N126" s="5" t="n"/>
      <c r="O126" s="5" t="n"/>
      <c r="P126" s="5" t="n"/>
      <c r="Q126" s="6" t="n"/>
      <c r="R126" s="66" t="n"/>
      <c r="S126" s="5" t="n"/>
      <c r="T126" s="5" t="n"/>
      <c r="U126" s="5" t="n"/>
      <c r="V126" s="5" t="n"/>
      <c r="W126" s="5" t="n"/>
      <c r="X126" s="6" t="n"/>
      <c r="Y126" s="66" t="n"/>
      <c r="Z126" s="5" t="n"/>
      <c r="AA126" s="5" t="n"/>
      <c r="AB126" s="5" t="n"/>
      <c r="AC126" s="5" t="n"/>
      <c r="AD126" s="6" t="n"/>
      <c r="AE126" s="67" t="n"/>
      <c r="AF126" s="6" t="n"/>
      <c r="AG126" s="67" t="n"/>
      <c r="AH126" s="6" t="n"/>
      <c r="AI126" s="67" t="n"/>
      <c r="AJ126" s="6" t="n"/>
      <c r="AK126" s="67" t="n"/>
      <c r="AL126" s="6" t="n"/>
      <c r="AM126" s="67" t="n"/>
      <c r="AN126" s="5" t="n"/>
      <c r="AO126" s="6" t="n"/>
      <c r="AP126" s="67" t="n"/>
      <c r="AQ126" s="6" t="n"/>
      <c r="AR126" s="66" t="n"/>
      <c r="AS126" s="5" t="n"/>
      <c r="AT126" s="6" t="n"/>
      <c r="AU126" s="67" t="n"/>
      <c r="AV126" s="6" t="n"/>
      <c r="AW126" s="67" t="n"/>
      <c r="AX126" s="6" t="n"/>
      <c r="AY126" s="67" t="n"/>
      <c r="AZ126" s="6" t="n"/>
      <c r="BA126" s="67" t="n"/>
      <c r="BB126" s="5" t="n"/>
      <c r="BC126" s="6" t="n"/>
      <c r="BD126" s="67" t="n"/>
      <c r="BE126" s="6" t="n"/>
      <c r="BF126" s="66" t="n"/>
      <c r="BG126" s="5" t="n"/>
      <c r="BH126" s="6" t="n"/>
      <c r="BI126" s="68" t="n"/>
      <c r="BJ126" s="5" t="n"/>
      <c r="BK126" s="42" t="n"/>
    </row>
    <row r="127" ht="20" customHeight="1">
      <c r="A127" s="61" t="n"/>
      <c r="B127" s="6" t="n"/>
      <c r="C127" s="62" t="n"/>
      <c r="D127" s="5" t="n"/>
      <c r="E127" s="5" t="n"/>
      <c r="F127" s="6" t="n"/>
      <c r="G127" s="62" t="n"/>
      <c r="H127" s="5" t="n"/>
      <c r="I127" s="6" t="n"/>
      <c r="J127" s="62" t="n"/>
      <c r="K127" s="5" t="n"/>
      <c r="L127" s="6" t="n"/>
      <c r="M127" s="62" t="n"/>
      <c r="N127" s="5" t="n"/>
      <c r="O127" s="5" t="n"/>
      <c r="P127" s="5" t="n"/>
      <c r="Q127" s="6" t="n"/>
      <c r="R127" s="62" t="n"/>
      <c r="S127" s="5" t="n"/>
      <c r="T127" s="5" t="n"/>
      <c r="U127" s="5" t="n"/>
      <c r="V127" s="5" t="n"/>
      <c r="W127" s="5" t="n"/>
      <c r="X127" s="6" t="n"/>
      <c r="Y127" s="62" t="n"/>
      <c r="Z127" s="5" t="n"/>
      <c r="AA127" s="5" t="n"/>
      <c r="AB127" s="5" t="n"/>
      <c r="AC127" s="5" t="n"/>
      <c r="AD127" s="6" t="n"/>
      <c r="AE127" s="63" t="n"/>
      <c r="AF127" s="6" t="n"/>
      <c r="AG127" s="63" t="n"/>
      <c r="AH127" s="6" t="n"/>
      <c r="AI127" s="63" t="n"/>
      <c r="AJ127" s="6" t="n"/>
      <c r="AK127" s="63" t="n"/>
      <c r="AL127" s="6" t="n"/>
      <c r="AM127" s="63" t="n"/>
      <c r="AN127" s="5" t="n"/>
      <c r="AO127" s="6" t="n"/>
      <c r="AP127" s="63" t="n"/>
      <c r="AQ127" s="6" t="n"/>
      <c r="AR127" s="62" t="n"/>
      <c r="AS127" s="5" t="n"/>
      <c r="AT127" s="6" t="n"/>
      <c r="AU127" s="63" t="n"/>
      <c r="AV127" s="6" t="n"/>
      <c r="AW127" s="63" t="n"/>
      <c r="AX127" s="6" t="n"/>
      <c r="AY127" s="63" t="n"/>
      <c r="AZ127" s="6" t="n"/>
      <c r="BA127" s="63" t="n"/>
      <c r="BB127" s="5" t="n"/>
      <c r="BC127" s="6" t="n"/>
      <c r="BD127" s="63" t="n"/>
      <c r="BE127" s="6" t="n"/>
      <c r="BF127" s="62" t="n"/>
      <c r="BG127" s="5" t="n"/>
      <c r="BH127" s="6" t="n"/>
      <c r="BI127" s="64" t="n"/>
      <c r="BJ127" s="5" t="n"/>
      <c r="BK127" s="42" t="n"/>
    </row>
    <row r="128" ht="20" customHeight="1">
      <c r="A128" s="65" t="n"/>
      <c r="B128" s="6" t="n"/>
      <c r="C128" s="66" t="n"/>
      <c r="D128" s="5" t="n"/>
      <c r="E128" s="5" t="n"/>
      <c r="F128" s="6" t="n"/>
      <c r="G128" s="66" t="n"/>
      <c r="H128" s="5" t="n"/>
      <c r="I128" s="6" t="n"/>
      <c r="J128" s="66" t="n"/>
      <c r="K128" s="5" t="n"/>
      <c r="L128" s="6" t="n"/>
      <c r="M128" s="66" t="n"/>
      <c r="N128" s="5" t="n"/>
      <c r="O128" s="5" t="n"/>
      <c r="P128" s="5" t="n"/>
      <c r="Q128" s="6" t="n"/>
      <c r="R128" s="66" t="n"/>
      <c r="S128" s="5" t="n"/>
      <c r="T128" s="5" t="n"/>
      <c r="U128" s="5" t="n"/>
      <c r="V128" s="5" t="n"/>
      <c r="W128" s="5" t="n"/>
      <c r="X128" s="6" t="n"/>
      <c r="Y128" s="66" t="n"/>
      <c r="Z128" s="5" t="n"/>
      <c r="AA128" s="5" t="n"/>
      <c r="AB128" s="5" t="n"/>
      <c r="AC128" s="5" t="n"/>
      <c r="AD128" s="6" t="n"/>
      <c r="AE128" s="67" t="n"/>
      <c r="AF128" s="6" t="n"/>
      <c r="AG128" s="67" t="n"/>
      <c r="AH128" s="6" t="n"/>
      <c r="AI128" s="67" t="n"/>
      <c r="AJ128" s="6" t="n"/>
      <c r="AK128" s="67" t="n"/>
      <c r="AL128" s="6" t="n"/>
      <c r="AM128" s="67" t="n"/>
      <c r="AN128" s="5" t="n"/>
      <c r="AO128" s="6" t="n"/>
      <c r="AP128" s="67" t="n"/>
      <c r="AQ128" s="6" t="n"/>
      <c r="AR128" s="66" t="n"/>
      <c r="AS128" s="5" t="n"/>
      <c r="AT128" s="6" t="n"/>
      <c r="AU128" s="67" t="n"/>
      <c r="AV128" s="6" t="n"/>
      <c r="AW128" s="67" t="n"/>
      <c r="AX128" s="6" t="n"/>
      <c r="AY128" s="67" t="n"/>
      <c r="AZ128" s="6" t="n"/>
      <c r="BA128" s="67" t="n"/>
      <c r="BB128" s="5" t="n"/>
      <c r="BC128" s="6" t="n"/>
      <c r="BD128" s="67" t="n"/>
      <c r="BE128" s="6" t="n"/>
      <c r="BF128" s="66" t="n"/>
      <c r="BG128" s="5" t="n"/>
      <c r="BH128" s="6" t="n"/>
      <c r="BI128" s="68" t="n"/>
      <c r="BJ128" s="5" t="n"/>
      <c r="BK128" s="42" t="n"/>
    </row>
    <row r="129" ht="20" customHeight="1">
      <c r="A129" s="61" t="n"/>
      <c r="B129" s="6" t="n"/>
      <c r="C129" s="62" t="n"/>
      <c r="D129" s="5" t="n"/>
      <c r="E129" s="5" t="n"/>
      <c r="F129" s="6" t="n"/>
      <c r="G129" s="62" t="n"/>
      <c r="H129" s="5" t="n"/>
      <c r="I129" s="6" t="n"/>
      <c r="J129" s="62" t="n"/>
      <c r="K129" s="5" t="n"/>
      <c r="L129" s="6" t="n"/>
      <c r="M129" s="62" t="n"/>
      <c r="N129" s="5" t="n"/>
      <c r="O129" s="5" t="n"/>
      <c r="P129" s="5" t="n"/>
      <c r="Q129" s="6" t="n"/>
      <c r="R129" s="62" t="n"/>
      <c r="S129" s="5" t="n"/>
      <c r="T129" s="5" t="n"/>
      <c r="U129" s="5" t="n"/>
      <c r="V129" s="5" t="n"/>
      <c r="W129" s="5" t="n"/>
      <c r="X129" s="6" t="n"/>
      <c r="Y129" s="62" t="n"/>
      <c r="Z129" s="5" t="n"/>
      <c r="AA129" s="5" t="n"/>
      <c r="AB129" s="5" t="n"/>
      <c r="AC129" s="5" t="n"/>
      <c r="AD129" s="6" t="n"/>
      <c r="AE129" s="63" t="n"/>
      <c r="AF129" s="6" t="n"/>
      <c r="AG129" s="63" t="n"/>
      <c r="AH129" s="6" t="n"/>
      <c r="AI129" s="63" t="n"/>
      <c r="AJ129" s="6" t="n"/>
      <c r="AK129" s="63" t="n"/>
      <c r="AL129" s="6" t="n"/>
      <c r="AM129" s="63" t="n"/>
      <c r="AN129" s="5" t="n"/>
      <c r="AO129" s="6" t="n"/>
      <c r="AP129" s="63" t="n"/>
      <c r="AQ129" s="6" t="n"/>
      <c r="AR129" s="62" t="n"/>
      <c r="AS129" s="5" t="n"/>
      <c r="AT129" s="6" t="n"/>
      <c r="AU129" s="63" t="n"/>
      <c r="AV129" s="6" t="n"/>
      <c r="AW129" s="63" t="n"/>
      <c r="AX129" s="6" t="n"/>
      <c r="AY129" s="63" t="n"/>
      <c r="AZ129" s="6" t="n"/>
      <c r="BA129" s="63" t="n"/>
      <c r="BB129" s="5" t="n"/>
      <c r="BC129" s="6" t="n"/>
      <c r="BD129" s="63" t="n"/>
      <c r="BE129" s="6" t="n"/>
      <c r="BF129" s="62" t="n"/>
      <c r="BG129" s="5" t="n"/>
      <c r="BH129" s="6" t="n"/>
      <c r="BI129" s="64" t="n"/>
      <c r="BJ129" s="5" t="n"/>
      <c r="BK129" s="42" t="n"/>
    </row>
    <row r="130" ht="20" customHeight="1">
      <c r="A130" s="65" t="n"/>
      <c r="B130" s="6" t="n"/>
      <c r="C130" s="66" t="n"/>
      <c r="D130" s="5" t="n"/>
      <c r="E130" s="5" t="n"/>
      <c r="F130" s="6" t="n"/>
      <c r="G130" s="66" t="n"/>
      <c r="H130" s="5" t="n"/>
      <c r="I130" s="6" t="n"/>
      <c r="J130" s="66" t="n"/>
      <c r="K130" s="5" t="n"/>
      <c r="L130" s="6" t="n"/>
      <c r="M130" s="66" t="n"/>
      <c r="N130" s="5" t="n"/>
      <c r="O130" s="5" t="n"/>
      <c r="P130" s="5" t="n"/>
      <c r="Q130" s="6" t="n"/>
      <c r="R130" s="66" t="n"/>
      <c r="S130" s="5" t="n"/>
      <c r="T130" s="5" t="n"/>
      <c r="U130" s="5" t="n"/>
      <c r="V130" s="5" t="n"/>
      <c r="W130" s="5" t="n"/>
      <c r="X130" s="6" t="n"/>
      <c r="Y130" s="66" t="n"/>
      <c r="Z130" s="5" t="n"/>
      <c r="AA130" s="5" t="n"/>
      <c r="AB130" s="5" t="n"/>
      <c r="AC130" s="5" t="n"/>
      <c r="AD130" s="6" t="n"/>
      <c r="AE130" s="67" t="n"/>
      <c r="AF130" s="6" t="n"/>
      <c r="AG130" s="67" t="n"/>
      <c r="AH130" s="6" t="n"/>
      <c r="AI130" s="67" t="n"/>
      <c r="AJ130" s="6" t="n"/>
      <c r="AK130" s="67" t="n"/>
      <c r="AL130" s="6" t="n"/>
      <c r="AM130" s="67" t="n"/>
      <c r="AN130" s="5" t="n"/>
      <c r="AO130" s="6" t="n"/>
      <c r="AP130" s="67" t="n"/>
      <c r="AQ130" s="6" t="n"/>
      <c r="AR130" s="66" t="n"/>
      <c r="AS130" s="5" t="n"/>
      <c r="AT130" s="6" t="n"/>
      <c r="AU130" s="67" t="n"/>
      <c r="AV130" s="6" t="n"/>
      <c r="AW130" s="67" t="n"/>
      <c r="AX130" s="6" t="n"/>
      <c r="AY130" s="67" t="n"/>
      <c r="AZ130" s="6" t="n"/>
      <c r="BA130" s="67" t="n"/>
      <c r="BB130" s="5" t="n"/>
      <c r="BC130" s="6" t="n"/>
      <c r="BD130" s="67" t="n"/>
      <c r="BE130" s="6" t="n"/>
      <c r="BF130" s="66" t="n"/>
      <c r="BG130" s="5" t="n"/>
      <c r="BH130" s="6" t="n"/>
      <c r="BI130" s="68" t="n"/>
      <c r="BJ130" s="5" t="n"/>
      <c r="BK130" s="42" t="n"/>
    </row>
    <row r="131" ht="20" customHeight="1">
      <c r="A131" s="61" t="n"/>
      <c r="B131" s="6" t="n"/>
      <c r="C131" s="62" t="n"/>
      <c r="D131" s="5" t="n"/>
      <c r="E131" s="5" t="n"/>
      <c r="F131" s="6" t="n"/>
      <c r="G131" s="62" t="n"/>
      <c r="H131" s="5" t="n"/>
      <c r="I131" s="6" t="n"/>
      <c r="J131" s="62" t="n"/>
      <c r="K131" s="5" t="n"/>
      <c r="L131" s="6" t="n"/>
      <c r="M131" s="62" t="n"/>
      <c r="N131" s="5" t="n"/>
      <c r="O131" s="5" t="n"/>
      <c r="P131" s="5" t="n"/>
      <c r="Q131" s="6" t="n"/>
      <c r="R131" s="62" t="n"/>
      <c r="S131" s="5" t="n"/>
      <c r="T131" s="5" t="n"/>
      <c r="U131" s="5" t="n"/>
      <c r="V131" s="5" t="n"/>
      <c r="W131" s="5" t="n"/>
      <c r="X131" s="6" t="n"/>
      <c r="Y131" s="62" t="n"/>
      <c r="Z131" s="5" t="n"/>
      <c r="AA131" s="5" t="n"/>
      <c r="AB131" s="5" t="n"/>
      <c r="AC131" s="5" t="n"/>
      <c r="AD131" s="6" t="n"/>
      <c r="AE131" s="63" t="n"/>
      <c r="AF131" s="6" t="n"/>
      <c r="AG131" s="63" t="n"/>
      <c r="AH131" s="6" t="n"/>
      <c r="AI131" s="63" t="n"/>
      <c r="AJ131" s="6" t="n"/>
      <c r="AK131" s="63" t="n"/>
      <c r="AL131" s="6" t="n"/>
      <c r="AM131" s="63" t="n"/>
      <c r="AN131" s="5" t="n"/>
      <c r="AO131" s="6" t="n"/>
      <c r="AP131" s="63" t="n"/>
      <c r="AQ131" s="6" t="n"/>
      <c r="AR131" s="62" t="n"/>
      <c r="AS131" s="5" t="n"/>
      <c r="AT131" s="6" t="n"/>
      <c r="AU131" s="63" t="n"/>
      <c r="AV131" s="6" t="n"/>
      <c r="AW131" s="63" t="n"/>
      <c r="AX131" s="6" t="n"/>
      <c r="AY131" s="63" t="n"/>
      <c r="AZ131" s="6" t="n"/>
      <c r="BA131" s="63" t="n"/>
      <c r="BB131" s="5" t="n"/>
      <c r="BC131" s="6" t="n"/>
      <c r="BD131" s="63" t="n"/>
      <c r="BE131" s="6" t="n"/>
      <c r="BF131" s="62" t="n"/>
      <c r="BG131" s="5" t="n"/>
      <c r="BH131" s="6" t="n"/>
      <c r="BI131" s="64" t="n"/>
      <c r="BJ131" s="5" t="n"/>
      <c r="BK131" s="42" t="n"/>
    </row>
    <row r="132" ht="20" customHeight="1">
      <c r="A132" s="65" t="n"/>
      <c r="B132" s="6" t="n"/>
      <c r="C132" s="66" t="n"/>
      <c r="D132" s="5" t="n"/>
      <c r="E132" s="5" t="n"/>
      <c r="F132" s="6" t="n"/>
      <c r="G132" s="66" t="n"/>
      <c r="H132" s="5" t="n"/>
      <c r="I132" s="6" t="n"/>
      <c r="J132" s="66" t="n"/>
      <c r="K132" s="5" t="n"/>
      <c r="L132" s="6" t="n"/>
      <c r="M132" s="66" t="n"/>
      <c r="N132" s="5" t="n"/>
      <c r="O132" s="5" t="n"/>
      <c r="P132" s="5" t="n"/>
      <c r="Q132" s="6" t="n"/>
      <c r="R132" s="66" t="n"/>
      <c r="S132" s="5" t="n"/>
      <c r="T132" s="5" t="n"/>
      <c r="U132" s="5" t="n"/>
      <c r="V132" s="5" t="n"/>
      <c r="W132" s="5" t="n"/>
      <c r="X132" s="6" t="n"/>
      <c r="Y132" s="66" t="n"/>
      <c r="Z132" s="5" t="n"/>
      <c r="AA132" s="5" t="n"/>
      <c r="AB132" s="5" t="n"/>
      <c r="AC132" s="5" t="n"/>
      <c r="AD132" s="6" t="n"/>
      <c r="AE132" s="67" t="n"/>
      <c r="AF132" s="6" t="n"/>
      <c r="AG132" s="67" t="n"/>
      <c r="AH132" s="6" t="n"/>
      <c r="AI132" s="67" t="n"/>
      <c r="AJ132" s="6" t="n"/>
      <c r="AK132" s="67" t="n"/>
      <c r="AL132" s="6" t="n"/>
      <c r="AM132" s="67" t="n"/>
      <c r="AN132" s="5" t="n"/>
      <c r="AO132" s="6" t="n"/>
      <c r="AP132" s="67" t="n"/>
      <c r="AQ132" s="6" t="n"/>
      <c r="AR132" s="66" t="n"/>
      <c r="AS132" s="5" t="n"/>
      <c r="AT132" s="6" t="n"/>
      <c r="AU132" s="67" t="n"/>
      <c r="AV132" s="6" t="n"/>
      <c r="AW132" s="67" t="n"/>
      <c r="AX132" s="6" t="n"/>
      <c r="AY132" s="67" t="n"/>
      <c r="AZ132" s="6" t="n"/>
      <c r="BA132" s="67" t="n"/>
      <c r="BB132" s="5" t="n"/>
      <c r="BC132" s="6" t="n"/>
      <c r="BD132" s="67" t="n"/>
      <c r="BE132" s="6" t="n"/>
      <c r="BF132" s="66" t="n"/>
      <c r="BG132" s="5" t="n"/>
      <c r="BH132" s="6" t="n"/>
      <c r="BI132" s="68" t="n"/>
      <c r="BJ132" s="5" t="n"/>
      <c r="BK132" s="42" t="n"/>
    </row>
    <row r="133" ht="20" customHeight="1">
      <c r="A133" s="61" t="n"/>
      <c r="B133" s="6" t="n"/>
      <c r="C133" s="62" t="n"/>
      <c r="D133" s="5" t="n"/>
      <c r="E133" s="5" t="n"/>
      <c r="F133" s="6" t="n"/>
      <c r="G133" s="62" t="n"/>
      <c r="H133" s="5" t="n"/>
      <c r="I133" s="6" t="n"/>
      <c r="J133" s="62" t="n"/>
      <c r="K133" s="5" t="n"/>
      <c r="L133" s="6" t="n"/>
      <c r="M133" s="62" t="n"/>
      <c r="N133" s="5" t="n"/>
      <c r="O133" s="5" t="n"/>
      <c r="P133" s="5" t="n"/>
      <c r="Q133" s="6" t="n"/>
      <c r="R133" s="62" t="n"/>
      <c r="S133" s="5" t="n"/>
      <c r="T133" s="5" t="n"/>
      <c r="U133" s="5" t="n"/>
      <c r="V133" s="5" t="n"/>
      <c r="W133" s="5" t="n"/>
      <c r="X133" s="6" t="n"/>
      <c r="Y133" s="62" t="n"/>
      <c r="Z133" s="5" t="n"/>
      <c r="AA133" s="5" t="n"/>
      <c r="AB133" s="5" t="n"/>
      <c r="AC133" s="5" t="n"/>
      <c r="AD133" s="6" t="n"/>
      <c r="AE133" s="63" t="n"/>
      <c r="AF133" s="6" t="n"/>
      <c r="AG133" s="63" t="n"/>
      <c r="AH133" s="6" t="n"/>
      <c r="AI133" s="63" t="n"/>
      <c r="AJ133" s="6" t="n"/>
      <c r="AK133" s="63" t="n"/>
      <c r="AL133" s="6" t="n"/>
      <c r="AM133" s="63" t="n"/>
      <c r="AN133" s="5" t="n"/>
      <c r="AO133" s="6" t="n"/>
      <c r="AP133" s="63" t="n"/>
      <c r="AQ133" s="6" t="n"/>
      <c r="AR133" s="62" t="n"/>
      <c r="AS133" s="5" t="n"/>
      <c r="AT133" s="6" t="n"/>
      <c r="AU133" s="63" t="n"/>
      <c r="AV133" s="6" t="n"/>
      <c r="AW133" s="63" t="n"/>
      <c r="AX133" s="6" t="n"/>
      <c r="AY133" s="63" t="n"/>
      <c r="AZ133" s="6" t="n"/>
      <c r="BA133" s="63" t="n"/>
      <c r="BB133" s="5" t="n"/>
      <c r="BC133" s="6" t="n"/>
      <c r="BD133" s="63" t="n"/>
      <c r="BE133" s="6" t="n"/>
      <c r="BF133" s="62" t="n"/>
      <c r="BG133" s="5" t="n"/>
      <c r="BH133" s="6" t="n"/>
      <c r="BI133" s="64" t="n"/>
      <c r="BJ133" s="5" t="n"/>
      <c r="BK133" s="42" t="n"/>
    </row>
    <row r="134" ht="20" customHeight="1">
      <c r="A134" s="65" t="n"/>
      <c r="B134" s="6" t="n"/>
      <c r="C134" s="66" t="n"/>
      <c r="D134" s="5" t="n"/>
      <c r="E134" s="5" t="n"/>
      <c r="F134" s="6" t="n"/>
      <c r="G134" s="66" t="n"/>
      <c r="H134" s="5" t="n"/>
      <c r="I134" s="6" t="n"/>
      <c r="J134" s="66" t="n"/>
      <c r="K134" s="5" t="n"/>
      <c r="L134" s="6" t="n"/>
      <c r="M134" s="66" t="n"/>
      <c r="N134" s="5" t="n"/>
      <c r="O134" s="5" t="n"/>
      <c r="P134" s="5" t="n"/>
      <c r="Q134" s="6" t="n"/>
      <c r="R134" s="66" t="n"/>
      <c r="S134" s="5" t="n"/>
      <c r="T134" s="5" t="n"/>
      <c r="U134" s="5" t="n"/>
      <c r="V134" s="5" t="n"/>
      <c r="W134" s="5" t="n"/>
      <c r="X134" s="6" t="n"/>
      <c r="Y134" s="66" t="n"/>
      <c r="Z134" s="5" t="n"/>
      <c r="AA134" s="5" t="n"/>
      <c r="AB134" s="5" t="n"/>
      <c r="AC134" s="5" t="n"/>
      <c r="AD134" s="6" t="n"/>
      <c r="AE134" s="67" t="n"/>
      <c r="AF134" s="6" t="n"/>
      <c r="AG134" s="67" t="n"/>
      <c r="AH134" s="6" t="n"/>
      <c r="AI134" s="67" t="n"/>
      <c r="AJ134" s="6" t="n"/>
      <c r="AK134" s="67" t="n"/>
      <c r="AL134" s="6" t="n"/>
      <c r="AM134" s="67" t="n"/>
      <c r="AN134" s="5" t="n"/>
      <c r="AO134" s="6" t="n"/>
      <c r="AP134" s="67" t="n"/>
      <c r="AQ134" s="6" t="n"/>
      <c r="AR134" s="66" t="n"/>
      <c r="AS134" s="5" t="n"/>
      <c r="AT134" s="6" t="n"/>
      <c r="AU134" s="67" t="n"/>
      <c r="AV134" s="6" t="n"/>
      <c r="AW134" s="67" t="n"/>
      <c r="AX134" s="6" t="n"/>
      <c r="AY134" s="67" t="n"/>
      <c r="AZ134" s="6" t="n"/>
      <c r="BA134" s="67" t="n"/>
      <c r="BB134" s="5" t="n"/>
      <c r="BC134" s="6" t="n"/>
      <c r="BD134" s="67" t="n"/>
      <c r="BE134" s="6" t="n"/>
      <c r="BF134" s="66" t="n"/>
      <c r="BG134" s="5" t="n"/>
      <c r="BH134" s="6" t="n"/>
      <c r="BI134" s="68" t="n"/>
      <c r="BJ134" s="5" t="n"/>
      <c r="BK134" s="42" t="n"/>
    </row>
    <row r="135" ht="20" customHeight="1">
      <c r="A135" s="61" t="n"/>
      <c r="B135" s="6" t="n"/>
      <c r="C135" s="62" t="n"/>
      <c r="D135" s="5" t="n"/>
      <c r="E135" s="5" t="n"/>
      <c r="F135" s="6" t="n"/>
      <c r="G135" s="62" t="n"/>
      <c r="H135" s="5" t="n"/>
      <c r="I135" s="6" t="n"/>
      <c r="J135" s="62" t="n"/>
      <c r="K135" s="5" t="n"/>
      <c r="L135" s="6" t="n"/>
      <c r="M135" s="62" t="n"/>
      <c r="N135" s="5" t="n"/>
      <c r="O135" s="5" t="n"/>
      <c r="P135" s="5" t="n"/>
      <c r="Q135" s="6" t="n"/>
      <c r="R135" s="62" t="n"/>
      <c r="S135" s="5" t="n"/>
      <c r="T135" s="5" t="n"/>
      <c r="U135" s="5" t="n"/>
      <c r="V135" s="5" t="n"/>
      <c r="W135" s="5" t="n"/>
      <c r="X135" s="6" t="n"/>
      <c r="Y135" s="62" t="n"/>
      <c r="Z135" s="5" t="n"/>
      <c r="AA135" s="5" t="n"/>
      <c r="AB135" s="5" t="n"/>
      <c r="AC135" s="5" t="n"/>
      <c r="AD135" s="6" t="n"/>
      <c r="AE135" s="63" t="n"/>
      <c r="AF135" s="6" t="n"/>
      <c r="AG135" s="63" t="n"/>
      <c r="AH135" s="6" t="n"/>
      <c r="AI135" s="63" t="n"/>
      <c r="AJ135" s="6" t="n"/>
      <c r="AK135" s="63" t="n"/>
      <c r="AL135" s="6" t="n"/>
      <c r="AM135" s="63" t="n"/>
      <c r="AN135" s="5" t="n"/>
      <c r="AO135" s="6" t="n"/>
      <c r="AP135" s="63" t="n"/>
      <c r="AQ135" s="6" t="n"/>
      <c r="AR135" s="62" t="n"/>
      <c r="AS135" s="5" t="n"/>
      <c r="AT135" s="6" t="n"/>
      <c r="AU135" s="63" t="n"/>
      <c r="AV135" s="6" t="n"/>
      <c r="AW135" s="63" t="n"/>
      <c r="AX135" s="6" t="n"/>
      <c r="AY135" s="63" t="n"/>
      <c r="AZ135" s="6" t="n"/>
      <c r="BA135" s="63" t="n"/>
      <c r="BB135" s="5" t="n"/>
      <c r="BC135" s="6" t="n"/>
      <c r="BD135" s="63" t="n"/>
      <c r="BE135" s="6" t="n"/>
      <c r="BF135" s="62" t="n"/>
      <c r="BG135" s="5" t="n"/>
      <c r="BH135" s="6" t="n"/>
      <c r="BI135" s="64" t="n"/>
      <c r="BJ135" s="5" t="n"/>
      <c r="BK135" s="42" t="n"/>
    </row>
    <row r="136" ht="20" customHeight="1">
      <c r="A136" s="65" t="n"/>
      <c r="B136" s="6" t="n"/>
      <c r="C136" s="66" t="n"/>
      <c r="D136" s="5" t="n"/>
      <c r="E136" s="5" t="n"/>
      <c r="F136" s="6" t="n"/>
      <c r="G136" s="66" t="n"/>
      <c r="H136" s="5" t="n"/>
      <c r="I136" s="6" t="n"/>
      <c r="J136" s="66" t="n"/>
      <c r="K136" s="5" t="n"/>
      <c r="L136" s="6" t="n"/>
      <c r="M136" s="66" t="n"/>
      <c r="N136" s="5" t="n"/>
      <c r="O136" s="5" t="n"/>
      <c r="P136" s="5" t="n"/>
      <c r="Q136" s="6" t="n"/>
      <c r="R136" s="66" t="n"/>
      <c r="S136" s="5" t="n"/>
      <c r="T136" s="5" t="n"/>
      <c r="U136" s="5" t="n"/>
      <c r="V136" s="5" t="n"/>
      <c r="W136" s="5" t="n"/>
      <c r="X136" s="6" t="n"/>
      <c r="Y136" s="66" t="n"/>
      <c r="Z136" s="5" t="n"/>
      <c r="AA136" s="5" t="n"/>
      <c r="AB136" s="5" t="n"/>
      <c r="AC136" s="5" t="n"/>
      <c r="AD136" s="6" t="n"/>
      <c r="AE136" s="67" t="n"/>
      <c r="AF136" s="6" t="n"/>
      <c r="AG136" s="67" t="n"/>
      <c r="AH136" s="6" t="n"/>
      <c r="AI136" s="67" t="n"/>
      <c r="AJ136" s="6" t="n"/>
      <c r="AK136" s="67" t="n"/>
      <c r="AL136" s="6" t="n"/>
      <c r="AM136" s="67" t="n"/>
      <c r="AN136" s="5" t="n"/>
      <c r="AO136" s="6" t="n"/>
      <c r="AP136" s="67" t="n"/>
      <c r="AQ136" s="6" t="n"/>
      <c r="AR136" s="66" t="n"/>
      <c r="AS136" s="5" t="n"/>
      <c r="AT136" s="6" t="n"/>
      <c r="AU136" s="67" t="n"/>
      <c r="AV136" s="6" t="n"/>
      <c r="AW136" s="67" t="n"/>
      <c r="AX136" s="6" t="n"/>
      <c r="AY136" s="67" t="n"/>
      <c r="AZ136" s="6" t="n"/>
      <c r="BA136" s="67" t="n"/>
      <c r="BB136" s="5" t="n"/>
      <c r="BC136" s="6" t="n"/>
      <c r="BD136" s="67" t="n"/>
      <c r="BE136" s="6" t="n"/>
      <c r="BF136" s="66" t="n"/>
      <c r="BG136" s="5" t="n"/>
      <c r="BH136" s="6" t="n"/>
      <c r="BI136" s="68" t="n"/>
      <c r="BJ136" s="5" t="n"/>
      <c r="BK136" s="42" t="n"/>
    </row>
    <row r="137" ht="20" customHeight="1">
      <c r="A137" s="61" t="n"/>
      <c r="B137" s="6" t="n"/>
      <c r="C137" s="62" t="n"/>
      <c r="D137" s="5" t="n"/>
      <c r="E137" s="5" t="n"/>
      <c r="F137" s="6" t="n"/>
      <c r="G137" s="62" t="n"/>
      <c r="H137" s="5" t="n"/>
      <c r="I137" s="6" t="n"/>
      <c r="J137" s="62" t="n"/>
      <c r="K137" s="5" t="n"/>
      <c r="L137" s="6" t="n"/>
      <c r="M137" s="62" t="n"/>
      <c r="N137" s="5" t="n"/>
      <c r="O137" s="5" t="n"/>
      <c r="P137" s="5" t="n"/>
      <c r="Q137" s="6" t="n"/>
      <c r="R137" s="62" t="n"/>
      <c r="S137" s="5" t="n"/>
      <c r="T137" s="5" t="n"/>
      <c r="U137" s="5" t="n"/>
      <c r="V137" s="5" t="n"/>
      <c r="W137" s="5" t="n"/>
      <c r="X137" s="6" t="n"/>
      <c r="Y137" s="62" t="n"/>
      <c r="Z137" s="5" t="n"/>
      <c r="AA137" s="5" t="n"/>
      <c r="AB137" s="5" t="n"/>
      <c r="AC137" s="5" t="n"/>
      <c r="AD137" s="6" t="n"/>
      <c r="AE137" s="63" t="n"/>
      <c r="AF137" s="6" t="n"/>
      <c r="AG137" s="63" t="n"/>
      <c r="AH137" s="6" t="n"/>
      <c r="AI137" s="63" t="n"/>
      <c r="AJ137" s="6" t="n"/>
      <c r="AK137" s="63" t="n"/>
      <c r="AL137" s="6" t="n"/>
      <c r="AM137" s="63" t="n"/>
      <c r="AN137" s="5" t="n"/>
      <c r="AO137" s="6" t="n"/>
      <c r="AP137" s="63" t="n"/>
      <c r="AQ137" s="6" t="n"/>
      <c r="AR137" s="62" t="n"/>
      <c r="AS137" s="5" t="n"/>
      <c r="AT137" s="6" t="n"/>
      <c r="AU137" s="63" t="n"/>
      <c r="AV137" s="6" t="n"/>
      <c r="AW137" s="63" t="n"/>
      <c r="AX137" s="6" t="n"/>
      <c r="AY137" s="63" t="n"/>
      <c r="AZ137" s="6" t="n"/>
      <c r="BA137" s="63" t="n"/>
      <c r="BB137" s="5" t="n"/>
      <c r="BC137" s="6" t="n"/>
      <c r="BD137" s="63" t="n"/>
      <c r="BE137" s="6" t="n"/>
      <c r="BF137" s="62" t="n"/>
      <c r="BG137" s="5" t="n"/>
      <c r="BH137" s="6" t="n"/>
      <c r="BI137" s="64" t="n"/>
      <c r="BJ137" s="5" t="n"/>
      <c r="BK137" s="42" t="n"/>
    </row>
    <row r="138" ht="20" customHeight="1">
      <c r="A138" s="65" t="n"/>
      <c r="B138" s="6" t="n"/>
      <c r="C138" s="66" t="n"/>
      <c r="D138" s="5" t="n"/>
      <c r="E138" s="5" t="n"/>
      <c r="F138" s="6" t="n"/>
      <c r="G138" s="66" t="n"/>
      <c r="H138" s="5" t="n"/>
      <c r="I138" s="6" t="n"/>
      <c r="J138" s="66" t="n"/>
      <c r="K138" s="5" t="n"/>
      <c r="L138" s="6" t="n"/>
      <c r="M138" s="66" t="n"/>
      <c r="N138" s="5" t="n"/>
      <c r="O138" s="5" t="n"/>
      <c r="P138" s="5" t="n"/>
      <c r="Q138" s="6" t="n"/>
      <c r="R138" s="66" t="n"/>
      <c r="S138" s="5" t="n"/>
      <c r="T138" s="5" t="n"/>
      <c r="U138" s="5" t="n"/>
      <c r="V138" s="5" t="n"/>
      <c r="W138" s="5" t="n"/>
      <c r="X138" s="6" t="n"/>
      <c r="Y138" s="66" t="n"/>
      <c r="Z138" s="5" t="n"/>
      <c r="AA138" s="5" t="n"/>
      <c r="AB138" s="5" t="n"/>
      <c r="AC138" s="5" t="n"/>
      <c r="AD138" s="6" t="n"/>
      <c r="AE138" s="67" t="n"/>
      <c r="AF138" s="6" t="n"/>
      <c r="AG138" s="67" t="n"/>
      <c r="AH138" s="6" t="n"/>
      <c r="AI138" s="67" t="n"/>
      <c r="AJ138" s="6" t="n"/>
      <c r="AK138" s="67" t="n"/>
      <c r="AL138" s="6" t="n"/>
      <c r="AM138" s="67" t="n"/>
      <c r="AN138" s="5" t="n"/>
      <c r="AO138" s="6" t="n"/>
      <c r="AP138" s="67" t="n"/>
      <c r="AQ138" s="6" t="n"/>
      <c r="AR138" s="66" t="n"/>
      <c r="AS138" s="5" t="n"/>
      <c r="AT138" s="6" t="n"/>
      <c r="AU138" s="67" t="n"/>
      <c r="AV138" s="6" t="n"/>
      <c r="AW138" s="67" t="n"/>
      <c r="AX138" s="6" t="n"/>
      <c r="AY138" s="67" t="n"/>
      <c r="AZ138" s="6" t="n"/>
      <c r="BA138" s="67" t="n"/>
      <c r="BB138" s="5" t="n"/>
      <c r="BC138" s="6" t="n"/>
      <c r="BD138" s="67" t="n"/>
      <c r="BE138" s="6" t="n"/>
      <c r="BF138" s="66" t="n"/>
      <c r="BG138" s="5" t="n"/>
      <c r="BH138" s="6" t="n"/>
      <c r="BI138" s="68" t="n"/>
      <c r="BJ138" s="5" t="n"/>
      <c r="BK138" s="42" t="n"/>
    </row>
    <row r="139" ht="20" customHeight="1">
      <c r="A139" s="61" t="n"/>
      <c r="B139" s="6" t="n"/>
      <c r="C139" s="62" t="n"/>
      <c r="D139" s="5" t="n"/>
      <c r="E139" s="5" t="n"/>
      <c r="F139" s="6" t="n"/>
      <c r="G139" s="62" t="n"/>
      <c r="H139" s="5" t="n"/>
      <c r="I139" s="6" t="n"/>
      <c r="J139" s="62" t="n"/>
      <c r="K139" s="5" t="n"/>
      <c r="L139" s="6" t="n"/>
      <c r="M139" s="62" t="n"/>
      <c r="N139" s="5" t="n"/>
      <c r="O139" s="5" t="n"/>
      <c r="P139" s="5" t="n"/>
      <c r="Q139" s="6" t="n"/>
      <c r="R139" s="62" t="n"/>
      <c r="S139" s="5" t="n"/>
      <c r="T139" s="5" t="n"/>
      <c r="U139" s="5" t="n"/>
      <c r="V139" s="5" t="n"/>
      <c r="W139" s="5" t="n"/>
      <c r="X139" s="6" t="n"/>
      <c r="Y139" s="62" t="n"/>
      <c r="Z139" s="5" t="n"/>
      <c r="AA139" s="5" t="n"/>
      <c r="AB139" s="5" t="n"/>
      <c r="AC139" s="5" t="n"/>
      <c r="AD139" s="6" t="n"/>
      <c r="AE139" s="63" t="n"/>
      <c r="AF139" s="6" t="n"/>
      <c r="AG139" s="63" t="n"/>
      <c r="AH139" s="6" t="n"/>
      <c r="AI139" s="63" t="n"/>
      <c r="AJ139" s="6" t="n"/>
      <c r="AK139" s="63" t="n"/>
      <c r="AL139" s="6" t="n"/>
      <c r="AM139" s="63" t="n"/>
      <c r="AN139" s="5" t="n"/>
      <c r="AO139" s="6" t="n"/>
      <c r="AP139" s="63" t="n"/>
      <c r="AQ139" s="6" t="n"/>
      <c r="AR139" s="62" t="n"/>
      <c r="AS139" s="5" t="n"/>
      <c r="AT139" s="6" t="n"/>
      <c r="AU139" s="63" t="n"/>
      <c r="AV139" s="6" t="n"/>
      <c r="AW139" s="63" t="n"/>
      <c r="AX139" s="6" t="n"/>
      <c r="AY139" s="63" t="n"/>
      <c r="AZ139" s="6" t="n"/>
      <c r="BA139" s="63" t="n"/>
      <c r="BB139" s="5" t="n"/>
      <c r="BC139" s="6" t="n"/>
      <c r="BD139" s="63" t="n"/>
      <c r="BE139" s="6" t="n"/>
      <c r="BF139" s="62" t="n"/>
      <c r="BG139" s="5" t="n"/>
      <c r="BH139" s="6" t="n"/>
      <c r="BI139" s="64" t="n"/>
      <c r="BJ139" s="5" t="n"/>
      <c r="BK139" s="42" t="n"/>
    </row>
    <row r="140" ht="20" customHeight="1">
      <c r="A140" s="65" t="n"/>
      <c r="B140" s="6" t="n"/>
      <c r="C140" s="66" t="n"/>
      <c r="D140" s="5" t="n"/>
      <c r="E140" s="5" t="n"/>
      <c r="F140" s="6" t="n"/>
      <c r="G140" s="66" t="n"/>
      <c r="H140" s="5" t="n"/>
      <c r="I140" s="6" t="n"/>
      <c r="J140" s="66" t="n"/>
      <c r="K140" s="5" t="n"/>
      <c r="L140" s="6" t="n"/>
      <c r="M140" s="66" t="n"/>
      <c r="N140" s="5" t="n"/>
      <c r="O140" s="5" t="n"/>
      <c r="P140" s="5" t="n"/>
      <c r="Q140" s="6" t="n"/>
      <c r="R140" s="66" t="n"/>
      <c r="S140" s="5" t="n"/>
      <c r="T140" s="5" t="n"/>
      <c r="U140" s="5" t="n"/>
      <c r="V140" s="5" t="n"/>
      <c r="W140" s="5" t="n"/>
      <c r="X140" s="6" t="n"/>
      <c r="Y140" s="66" t="n"/>
      <c r="Z140" s="5" t="n"/>
      <c r="AA140" s="5" t="n"/>
      <c r="AB140" s="5" t="n"/>
      <c r="AC140" s="5" t="n"/>
      <c r="AD140" s="6" t="n"/>
      <c r="AE140" s="67" t="n"/>
      <c r="AF140" s="6" t="n"/>
      <c r="AG140" s="67" t="n"/>
      <c r="AH140" s="6" t="n"/>
      <c r="AI140" s="67" t="n"/>
      <c r="AJ140" s="6" t="n"/>
      <c r="AK140" s="67" t="n"/>
      <c r="AL140" s="6" t="n"/>
      <c r="AM140" s="67" t="n"/>
      <c r="AN140" s="5" t="n"/>
      <c r="AO140" s="6" t="n"/>
      <c r="AP140" s="67" t="n"/>
      <c r="AQ140" s="6" t="n"/>
      <c r="AR140" s="66" t="n"/>
      <c r="AS140" s="5" t="n"/>
      <c r="AT140" s="6" t="n"/>
      <c r="AU140" s="67" t="n"/>
      <c r="AV140" s="6" t="n"/>
      <c r="AW140" s="67" t="n"/>
      <c r="AX140" s="6" t="n"/>
      <c r="AY140" s="67" t="n"/>
      <c r="AZ140" s="6" t="n"/>
      <c r="BA140" s="67" t="n"/>
      <c r="BB140" s="5" t="n"/>
      <c r="BC140" s="6" t="n"/>
      <c r="BD140" s="67" t="n"/>
      <c r="BE140" s="6" t="n"/>
      <c r="BF140" s="66" t="n"/>
      <c r="BG140" s="5" t="n"/>
      <c r="BH140" s="6" t="n"/>
      <c r="BI140" s="68" t="n"/>
      <c r="BJ140" s="5" t="n"/>
      <c r="BK140" s="42" t="n"/>
    </row>
    <row r="141" ht="20" customHeight="1">
      <c r="A141" s="61" t="n"/>
      <c r="B141" s="6" t="n"/>
      <c r="C141" s="62" t="n"/>
      <c r="D141" s="5" t="n"/>
      <c r="E141" s="5" t="n"/>
      <c r="F141" s="6" t="n"/>
      <c r="G141" s="62" t="n"/>
      <c r="H141" s="5" t="n"/>
      <c r="I141" s="6" t="n"/>
      <c r="J141" s="62" t="n"/>
      <c r="K141" s="5" t="n"/>
      <c r="L141" s="6" t="n"/>
      <c r="M141" s="62" t="n"/>
      <c r="N141" s="5" t="n"/>
      <c r="O141" s="5" t="n"/>
      <c r="P141" s="5" t="n"/>
      <c r="Q141" s="6" t="n"/>
      <c r="R141" s="62" t="n"/>
      <c r="S141" s="5" t="n"/>
      <c r="T141" s="5" t="n"/>
      <c r="U141" s="5" t="n"/>
      <c r="V141" s="5" t="n"/>
      <c r="W141" s="5" t="n"/>
      <c r="X141" s="6" t="n"/>
      <c r="Y141" s="62" t="n"/>
      <c r="Z141" s="5" t="n"/>
      <c r="AA141" s="5" t="n"/>
      <c r="AB141" s="5" t="n"/>
      <c r="AC141" s="5" t="n"/>
      <c r="AD141" s="6" t="n"/>
      <c r="AE141" s="63" t="n"/>
      <c r="AF141" s="6" t="n"/>
      <c r="AG141" s="63" t="n"/>
      <c r="AH141" s="6" t="n"/>
      <c r="AI141" s="63" t="n"/>
      <c r="AJ141" s="6" t="n"/>
      <c r="AK141" s="63" t="n"/>
      <c r="AL141" s="6" t="n"/>
      <c r="AM141" s="63" t="n"/>
      <c r="AN141" s="5" t="n"/>
      <c r="AO141" s="6" t="n"/>
      <c r="AP141" s="63" t="n"/>
      <c r="AQ141" s="6" t="n"/>
      <c r="AR141" s="62" t="n"/>
      <c r="AS141" s="5" t="n"/>
      <c r="AT141" s="6" t="n"/>
      <c r="AU141" s="63" t="n"/>
      <c r="AV141" s="6" t="n"/>
      <c r="AW141" s="63" t="n"/>
      <c r="AX141" s="6" t="n"/>
      <c r="AY141" s="63" t="n"/>
      <c r="AZ141" s="6" t="n"/>
      <c r="BA141" s="63" t="n"/>
      <c r="BB141" s="5" t="n"/>
      <c r="BC141" s="6" t="n"/>
      <c r="BD141" s="63" t="n"/>
      <c r="BE141" s="6" t="n"/>
      <c r="BF141" s="62" t="n"/>
      <c r="BG141" s="5" t="n"/>
      <c r="BH141" s="6" t="n"/>
      <c r="BI141" s="64" t="n"/>
      <c r="BJ141" s="5" t="n"/>
      <c r="BK141" s="42" t="n"/>
    </row>
    <row r="142" ht="20" customHeight="1">
      <c r="A142" s="65" t="n"/>
      <c r="B142" s="6" t="n"/>
      <c r="C142" s="66" t="n"/>
      <c r="D142" s="5" t="n"/>
      <c r="E142" s="5" t="n"/>
      <c r="F142" s="6" t="n"/>
      <c r="G142" s="66" t="n"/>
      <c r="H142" s="5" t="n"/>
      <c r="I142" s="6" t="n"/>
      <c r="J142" s="66" t="n"/>
      <c r="K142" s="5" t="n"/>
      <c r="L142" s="6" t="n"/>
      <c r="M142" s="66" t="n"/>
      <c r="N142" s="5" t="n"/>
      <c r="O142" s="5" t="n"/>
      <c r="P142" s="5" t="n"/>
      <c r="Q142" s="6" t="n"/>
      <c r="R142" s="66" t="n"/>
      <c r="S142" s="5" t="n"/>
      <c r="T142" s="5" t="n"/>
      <c r="U142" s="5" t="n"/>
      <c r="V142" s="5" t="n"/>
      <c r="W142" s="5" t="n"/>
      <c r="X142" s="6" t="n"/>
      <c r="Y142" s="66" t="n"/>
      <c r="Z142" s="5" t="n"/>
      <c r="AA142" s="5" t="n"/>
      <c r="AB142" s="5" t="n"/>
      <c r="AC142" s="5" t="n"/>
      <c r="AD142" s="6" t="n"/>
      <c r="AE142" s="67" t="n"/>
      <c r="AF142" s="6" t="n"/>
      <c r="AG142" s="67" t="n"/>
      <c r="AH142" s="6" t="n"/>
      <c r="AI142" s="67" t="n"/>
      <c r="AJ142" s="6" t="n"/>
      <c r="AK142" s="67" t="n"/>
      <c r="AL142" s="6" t="n"/>
      <c r="AM142" s="67" t="n"/>
      <c r="AN142" s="5" t="n"/>
      <c r="AO142" s="6" t="n"/>
      <c r="AP142" s="67" t="n"/>
      <c r="AQ142" s="6" t="n"/>
      <c r="AR142" s="66" t="n"/>
      <c r="AS142" s="5" t="n"/>
      <c r="AT142" s="6" t="n"/>
      <c r="AU142" s="67" t="n"/>
      <c r="AV142" s="6" t="n"/>
      <c r="AW142" s="67" t="n"/>
      <c r="AX142" s="6" t="n"/>
      <c r="AY142" s="67" t="n"/>
      <c r="AZ142" s="6" t="n"/>
      <c r="BA142" s="67" t="n"/>
      <c r="BB142" s="5" t="n"/>
      <c r="BC142" s="6" t="n"/>
      <c r="BD142" s="67" t="n"/>
      <c r="BE142" s="6" t="n"/>
      <c r="BF142" s="66" t="n"/>
      <c r="BG142" s="5" t="n"/>
      <c r="BH142" s="6" t="n"/>
      <c r="BI142" s="68" t="n"/>
      <c r="BJ142" s="5" t="n"/>
      <c r="BK142" s="42" t="n"/>
    </row>
    <row r="143" ht="20" customHeight="1">
      <c r="A143" s="61" t="n"/>
      <c r="B143" s="6" t="n"/>
      <c r="C143" s="62" t="n"/>
      <c r="D143" s="5" t="n"/>
      <c r="E143" s="5" t="n"/>
      <c r="F143" s="6" t="n"/>
      <c r="G143" s="62" t="n"/>
      <c r="H143" s="5" t="n"/>
      <c r="I143" s="6" t="n"/>
      <c r="J143" s="62" t="n"/>
      <c r="K143" s="5" t="n"/>
      <c r="L143" s="6" t="n"/>
      <c r="M143" s="62" t="n"/>
      <c r="N143" s="5" t="n"/>
      <c r="O143" s="5" t="n"/>
      <c r="P143" s="5" t="n"/>
      <c r="Q143" s="6" t="n"/>
      <c r="R143" s="62" t="n"/>
      <c r="S143" s="5" t="n"/>
      <c r="T143" s="5" t="n"/>
      <c r="U143" s="5" t="n"/>
      <c r="V143" s="5" t="n"/>
      <c r="W143" s="5" t="n"/>
      <c r="X143" s="6" t="n"/>
      <c r="Y143" s="62" t="n"/>
      <c r="Z143" s="5" t="n"/>
      <c r="AA143" s="5" t="n"/>
      <c r="AB143" s="5" t="n"/>
      <c r="AC143" s="5" t="n"/>
      <c r="AD143" s="6" t="n"/>
      <c r="AE143" s="63" t="n"/>
      <c r="AF143" s="6" t="n"/>
      <c r="AG143" s="63" t="n"/>
      <c r="AH143" s="6" t="n"/>
      <c r="AI143" s="63" t="n"/>
      <c r="AJ143" s="6" t="n"/>
      <c r="AK143" s="63" t="n"/>
      <c r="AL143" s="6" t="n"/>
      <c r="AM143" s="63" t="n"/>
      <c r="AN143" s="5" t="n"/>
      <c r="AO143" s="6" t="n"/>
      <c r="AP143" s="63" t="n"/>
      <c r="AQ143" s="6" t="n"/>
      <c r="AR143" s="62" t="n"/>
      <c r="AS143" s="5" t="n"/>
      <c r="AT143" s="6" t="n"/>
      <c r="AU143" s="63" t="n"/>
      <c r="AV143" s="6" t="n"/>
      <c r="AW143" s="63" t="n"/>
      <c r="AX143" s="6" t="n"/>
      <c r="AY143" s="63" t="n"/>
      <c r="AZ143" s="6" t="n"/>
      <c r="BA143" s="63" t="n"/>
      <c r="BB143" s="5" t="n"/>
      <c r="BC143" s="6" t="n"/>
      <c r="BD143" s="63" t="n"/>
      <c r="BE143" s="6" t="n"/>
      <c r="BF143" s="62" t="n"/>
      <c r="BG143" s="5" t="n"/>
      <c r="BH143" s="6" t="n"/>
      <c r="BI143" s="64" t="n"/>
      <c r="BJ143" s="5" t="n"/>
      <c r="BK143" s="42" t="n"/>
    </row>
    <row r="144" ht="20" customHeight="1">
      <c r="A144" s="65" t="n"/>
      <c r="B144" s="6" t="n"/>
      <c r="C144" s="66" t="n"/>
      <c r="D144" s="5" t="n"/>
      <c r="E144" s="5" t="n"/>
      <c r="F144" s="6" t="n"/>
      <c r="G144" s="66" t="n"/>
      <c r="H144" s="5" t="n"/>
      <c r="I144" s="6" t="n"/>
      <c r="J144" s="66" t="n"/>
      <c r="K144" s="5" t="n"/>
      <c r="L144" s="6" t="n"/>
      <c r="M144" s="66" t="n"/>
      <c r="N144" s="5" t="n"/>
      <c r="O144" s="5" t="n"/>
      <c r="P144" s="5" t="n"/>
      <c r="Q144" s="6" t="n"/>
      <c r="R144" s="66" t="n"/>
      <c r="S144" s="5" t="n"/>
      <c r="T144" s="5" t="n"/>
      <c r="U144" s="5" t="n"/>
      <c r="V144" s="5" t="n"/>
      <c r="W144" s="5" t="n"/>
      <c r="X144" s="6" t="n"/>
      <c r="Y144" s="66" t="n"/>
      <c r="Z144" s="5" t="n"/>
      <c r="AA144" s="5" t="n"/>
      <c r="AB144" s="5" t="n"/>
      <c r="AC144" s="5" t="n"/>
      <c r="AD144" s="6" t="n"/>
      <c r="AE144" s="67" t="n"/>
      <c r="AF144" s="6" t="n"/>
      <c r="AG144" s="67" t="n"/>
      <c r="AH144" s="6" t="n"/>
      <c r="AI144" s="67" t="n"/>
      <c r="AJ144" s="6" t="n"/>
      <c r="AK144" s="67" t="n"/>
      <c r="AL144" s="6" t="n"/>
      <c r="AM144" s="67" t="n"/>
      <c r="AN144" s="5" t="n"/>
      <c r="AO144" s="6" t="n"/>
      <c r="AP144" s="67" t="n"/>
      <c r="AQ144" s="6" t="n"/>
      <c r="AR144" s="66" t="n"/>
      <c r="AS144" s="5" t="n"/>
      <c r="AT144" s="6" t="n"/>
      <c r="AU144" s="67" t="n"/>
      <c r="AV144" s="6" t="n"/>
      <c r="AW144" s="67" t="n"/>
      <c r="AX144" s="6" t="n"/>
      <c r="AY144" s="67" t="n"/>
      <c r="AZ144" s="6" t="n"/>
      <c r="BA144" s="67" t="n"/>
      <c r="BB144" s="5" t="n"/>
      <c r="BC144" s="6" t="n"/>
      <c r="BD144" s="67" t="n"/>
      <c r="BE144" s="6" t="n"/>
      <c r="BF144" s="66" t="n"/>
      <c r="BG144" s="5" t="n"/>
      <c r="BH144" s="6" t="n"/>
      <c r="BI144" s="68" t="n"/>
      <c r="BJ144" s="5" t="n"/>
      <c r="BK144" s="42" t="n"/>
    </row>
    <row r="145" ht="20" customHeight="1">
      <c r="A145" s="61" t="n"/>
      <c r="B145" s="6" t="n"/>
      <c r="C145" s="62" t="n"/>
      <c r="D145" s="5" t="n"/>
      <c r="E145" s="5" t="n"/>
      <c r="F145" s="6" t="n"/>
      <c r="G145" s="62" t="n"/>
      <c r="H145" s="5" t="n"/>
      <c r="I145" s="6" t="n"/>
      <c r="J145" s="62" t="n"/>
      <c r="K145" s="5" t="n"/>
      <c r="L145" s="6" t="n"/>
      <c r="M145" s="62" t="n"/>
      <c r="N145" s="5" t="n"/>
      <c r="O145" s="5" t="n"/>
      <c r="P145" s="5" t="n"/>
      <c r="Q145" s="6" t="n"/>
      <c r="R145" s="62" t="n"/>
      <c r="S145" s="5" t="n"/>
      <c r="T145" s="5" t="n"/>
      <c r="U145" s="5" t="n"/>
      <c r="V145" s="5" t="n"/>
      <c r="W145" s="5" t="n"/>
      <c r="X145" s="6" t="n"/>
      <c r="Y145" s="62" t="n"/>
      <c r="Z145" s="5" t="n"/>
      <c r="AA145" s="5" t="n"/>
      <c r="AB145" s="5" t="n"/>
      <c r="AC145" s="5" t="n"/>
      <c r="AD145" s="6" t="n"/>
      <c r="AE145" s="63" t="n"/>
      <c r="AF145" s="6" t="n"/>
      <c r="AG145" s="63" t="n"/>
      <c r="AH145" s="6" t="n"/>
      <c r="AI145" s="63" t="n"/>
      <c r="AJ145" s="6" t="n"/>
      <c r="AK145" s="63" t="n"/>
      <c r="AL145" s="6" t="n"/>
      <c r="AM145" s="63" t="n"/>
      <c r="AN145" s="5" t="n"/>
      <c r="AO145" s="6" t="n"/>
      <c r="AP145" s="63" t="n"/>
      <c r="AQ145" s="6" t="n"/>
      <c r="AR145" s="62" t="n"/>
      <c r="AS145" s="5" t="n"/>
      <c r="AT145" s="6" t="n"/>
      <c r="AU145" s="63" t="n"/>
      <c r="AV145" s="6" t="n"/>
      <c r="AW145" s="63" t="n"/>
      <c r="AX145" s="6" t="n"/>
      <c r="AY145" s="63" t="n"/>
      <c r="AZ145" s="6" t="n"/>
      <c r="BA145" s="63" t="n"/>
      <c r="BB145" s="5" t="n"/>
      <c r="BC145" s="6" t="n"/>
      <c r="BD145" s="63" t="n"/>
      <c r="BE145" s="6" t="n"/>
      <c r="BF145" s="62" t="n"/>
      <c r="BG145" s="5" t="n"/>
      <c r="BH145" s="6" t="n"/>
      <c r="BI145" s="64" t="n"/>
      <c r="BJ145" s="5" t="n"/>
      <c r="BK145" s="42" t="n"/>
    </row>
    <row r="146" ht="20" customHeight="1">
      <c r="A146" s="65" t="n"/>
      <c r="B146" s="6" t="n"/>
      <c r="C146" s="66" t="n"/>
      <c r="D146" s="5" t="n"/>
      <c r="E146" s="5" t="n"/>
      <c r="F146" s="6" t="n"/>
      <c r="G146" s="66" t="n"/>
      <c r="H146" s="5" t="n"/>
      <c r="I146" s="6" t="n"/>
      <c r="J146" s="66" t="n"/>
      <c r="K146" s="5" t="n"/>
      <c r="L146" s="6" t="n"/>
      <c r="M146" s="66" t="n"/>
      <c r="N146" s="5" t="n"/>
      <c r="O146" s="5" t="n"/>
      <c r="P146" s="5" t="n"/>
      <c r="Q146" s="6" t="n"/>
      <c r="R146" s="66" t="n"/>
      <c r="S146" s="5" t="n"/>
      <c r="T146" s="5" t="n"/>
      <c r="U146" s="5" t="n"/>
      <c r="V146" s="5" t="n"/>
      <c r="W146" s="5" t="n"/>
      <c r="X146" s="6" t="n"/>
      <c r="Y146" s="66" t="n"/>
      <c r="Z146" s="5" t="n"/>
      <c r="AA146" s="5" t="n"/>
      <c r="AB146" s="5" t="n"/>
      <c r="AC146" s="5" t="n"/>
      <c r="AD146" s="6" t="n"/>
      <c r="AE146" s="67" t="n"/>
      <c r="AF146" s="6" t="n"/>
      <c r="AG146" s="67" t="n"/>
      <c r="AH146" s="6" t="n"/>
      <c r="AI146" s="67" t="n"/>
      <c r="AJ146" s="6" t="n"/>
      <c r="AK146" s="67" t="n"/>
      <c r="AL146" s="6" t="n"/>
      <c r="AM146" s="67" t="n"/>
      <c r="AN146" s="5" t="n"/>
      <c r="AO146" s="6" t="n"/>
      <c r="AP146" s="67" t="n"/>
      <c r="AQ146" s="6" t="n"/>
      <c r="AR146" s="66" t="n"/>
      <c r="AS146" s="5" t="n"/>
      <c r="AT146" s="6" t="n"/>
      <c r="AU146" s="67" t="n"/>
      <c r="AV146" s="6" t="n"/>
      <c r="AW146" s="67" t="n"/>
      <c r="AX146" s="6" t="n"/>
      <c r="AY146" s="67" t="n"/>
      <c r="AZ146" s="6" t="n"/>
      <c r="BA146" s="67" t="n"/>
      <c r="BB146" s="5" t="n"/>
      <c r="BC146" s="6" t="n"/>
      <c r="BD146" s="67" t="n"/>
      <c r="BE146" s="6" t="n"/>
      <c r="BF146" s="66" t="n"/>
      <c r="BG146" s="5" t="n"/>
      <c r="BH146" s="6" t="n"/>
      <c r="BI146" s="68" t="n"/>
      <c r="BJ146" s="5" t="n"/>
      <c r="BK146" s="42" t="n"/>
    </row>
    <row r="147" ht="20" customHeight="1">
      <c r="A147" s="61" t="n"/>
      <c r="B147" s="6" t="n"/>
      <c r="C147" s="62" t="n"/>
      <c r="D147" s="5" t="n"/>
      <c r="E147" s="5" t="n"/>
      <c r="F147" s="6" t="n"/>
      <c r="G147" s="62" t="n"/>
      <c r="H147" s="5" t="n"/>
      <c r="I147" s="6" t="n"/>
      <c r="J147" s="62" t="n"/>
      <c r="K147" s="5" t="n"/>
      <c r="L147" s="6" t="n"/>
      <c r="M147" s="62" t="n"/>
      <c r="N147" s="5" t="n"/>
      <c r="O147" s="5" t="n"/>
      <c r="P147" s="5" t="n"/>
      <c r="Q147" s="6" t="n"/>
      <c r="R147" s="62" t="n"/>
      <c r="S147" s="5" t="n"/>
      <c r="T147" s="5" t="n"/>
      <c r="U147" s="5" t="n"/>
      <c r="V147" s="5" t="n"/>
      <c r="W147" s="5" t="n"/>
      <c r="X147" s="6" t="n"/>
      <c r="Y147" s="62" t="n"/>
      <c r="Z147" s="5" t="n"/>
      <c r="AA147" s="5" t="n"/>
      <c r="AB147" s="5" t="n"/>
      <c r="AC147" s="5" t="n"/>
      <c r="AD147" s="6" t="n"/>
      <c r="AE147" s="63" t="n"/>
      <c r="AF147" s="6" t="n"/>
      <c r="AG147" s="63" t="n"/>
      <c r="AH147" s="6" t="n"/>
      <c r="AI147" s="63" t="n"/>
      <c r="AJ147" s="6" t="n"/>
      <c r="AK147" s="63" t="n"/>
      <c r="AL147" s="6" t="n"/>
      <c r="AM147" s="63" t="n"/>
      <c r="AN147" s="5" t="n"/>
      <c r="AO147" s="6" t="n"/>
      <c r="AP147" s="63" t="n"/>
      <c r="AQ147" s="6" t="n"/>
      <c r="AR147" s="62" t="n"/>
      <c r="AS147" s="5" t="n"/>
      <c r="AT147" s="6" t="n"/>
      <c r="AU147" s="63" t="n"/>
      <c r="AV147" s="6" t="n"/>
      <c r="AW147" s="63" t="n"/>
      <c r="AX147" s="6" t="n"/>
      <c r="AY147" s="63" t="n"/>
      <c r="AZ147" s="6" t="n"/>
      <c r="BA147" s="63" t="n"/>
      <c r="BB147" s="5" t="n"/>
      <c r="BC147" s="6" t="n"/>
      <c r="BD147" s="63" t="n"/>
      <c r="BE147" s="6" t="n"/>
      <c r="BF147" s="62" t="n"/>
      <c r="BG147" s="5" t="n"/>
      <c r="BH147" s="6" t="n"/>
      <c r="BI147" s="64" t="n"/>
      <c r="BJ147" s="5" t="n"/>
      <c r="BK147" s="42" t="n"/>
    </row>
    <row r="148" ht="20" customHeight="1">
      <c r="A148" s="65" t="n"/>
      <c r="B148" s="6" t="n"/>
      <c r="C148" s="66" t="n"/>
      <c r="D148" s="5" t="n"/>
      <c r="E148" s="5" t="n"/>
      <c r="F148" s="6" t="n"/>
      <c r="G148" s="66" t="n"/>
      <c r="H148" s="5" t="n"/>
      <c r="I148" s="6" t="n"/>
      <c r="J148" s="66" t="n"/>
      <c r="K148" s="5" t="n"/>
      <c r="L148" s="6" t="n"/>
      <c r="M148" s="66" t="n"/>
      <c r="N148" s="5" t="n"/>
      <c r="O148" s="5" t="n"/>
      <c r="P148" s="5" t="n"/>
      <c r="Q148" s="6" t="n"/>
      <c r="R148" s="66" t="n"/>
      <c r="S148" s="5" t="n"/>
      <c r="T148" s="5" t="n"/>
      <c r="U148" s="5" t="n"/>
      <c r="V148" s="5" t="n"/>
      <c r="W148" s="5" t="n"/>
      <c r="X148" s="6" t="n"/>
      <c r="Y148" s="66" t="n"/>
      <c r="Z148" s="5" t="n"/>
      <c r="AA148" s="5" t="n"/>
      <c r="AB148" s="5" t="n"/>
      <c r="AC148" s="5" t="n"/>
      <c r="AD148" s="6" t="n"/>
      <c r="AE148" s="67" t="n"/>
      <c r="AF148" s="6" t="n"/>
      <c r="AG148" s="67" t="n"/>
      <c r="AH148" s="6" t="n"/>
      <c r="AI148" s="67" t="n"/>
      <c r="AJ148" s="6" t="n"/>
      <c r="AK148" s="67" t="n"/>
      <c r="AL148" s="6" t="n"/>
      <c r="AM148" s="67" t="n"/>
      <c r="AN148" s="5" t="n"/>
      <c r="AO148" s="6" t="n"/>
      <c r="AP148" s="67" t="n"/>
      <c r="AQ148" s="6" t="n"/>
      <c r="AR148" s="66" t="n"/>
      <c r="AS148" s="5" t="n"/>
      <c r="AT148" s="6" t="n"/>
      <c r="AU148" s="67" t="n"/>
      <c r="AV148" s="6" t="n"/>
      <c r="AW148" s="67" t="n"/>
      <c r="AX148" s="6" t="n"/>
      <c r="AY148" s="67" t="n"/>
      <c r="AZ148" s="6" t="n"/>
      <c r="BA148" s="67" t="n"/>
      <c r="BB148" s="5" t="n"/>
      <c r="BC148" s="6" t="n"/>
      <c r="BD148" s="67" t="n"/>
      <c r="BE148" s="6" t="n"/>
      <c r="BF148" s="66" t="n"/>
      <c r="BG148" s="5" t="n"/>
      <c r="BH148" s="6" t="n"/>
      <c r="BI148" s="68" t="n"/>
      <c r="BJ148" s="5" t="n"/>
      <c r="BK148" s="42" t="n"/>
    </row>
    <row r="149" ht="20" customHeight="1">
      <c r="A149" s="61" t="n"/>
      <c r="B149" s="6" t="n"/>
      <c r="C149" s="62" t="n"/>
      <c r="D149" s="5" t="n"/>
      <c r="E149" s="5" t="n"/>
      <c r="F149" s="6" t="n"/>
      <c r="G149" s="62" t="n"/>
      <c r="H149" s="5" t="n"/>
      <c r="I149" s="6" t="n"/>
      <c r="J149" s="62" t="n"/>
      <c r="K149" s="5" t="n"/>
      <c r="L149" s="6" t="n"/>
      <c r="M149" s="62" t="n"/>
      <c r="N149" s="5" t="n"/>
      <c r="O149" s="5" t="n"/>
      <c r="P149" s="5" t="n"/>
      <c r="Q149" s="6" t="n"/>
      <c r="R149" s="62" t="n"/>
      <c r="S149" s="5" t="n"/>
      <c r="T149" s="5" t="n"/>
      <c r="U149" s="5" t="n"/>
      <c r="V149" s="5" t="n"/>
      <c r="W149" s="5" t="n"/>
      <c r="X149" s="6" t="n"/>
      <c r="Y149" s="62" t="n"/>
      <c r="Z149" s="5" t="n"/>
      <c r="AA149" s="5" t="n"/>
      <c r="AB149" s="5" t="n"/>
      <c r="AC149" s="5" t="n"/>
      <c r="AD149" s="6" t="n"/>
      <c r="AE149" s="63" t="n"/>
      <c r="AF149" s="6" t="n"/>
      <c r="AG149" s="63" t="n"/>
      <c r="AH149" s="6" t="n"/>
      <c r="AI149" s="63" t="n"/>
      <c r="AJ149" s="6" t="n"/>
      <c r="AK149" s="63" t="n"/>
      <c r="AL149" s="6" t="n"/>
      <c r="AM149" s="63" t="n"/>
      <c r="AN149" s="5" t="n"/>
      <c r="AO149" s="6" t="n"/>
      <c r="AP149" s="63" t="n"/>
      <c r="AQ149" s="6" t="n"/>
      <c r="AR149" s="62" t="n"/>
      <c r="AS149" s="5" t="n"/>
      <c r="AT149" s="6" t="n"/>
      <c r="AU149" s="63" t="n"/>
      <c r="AV149" s="6" t="n"/>
      <c r="AW149" s="63" t="n"/>
      <c r="AX149" s="6" t="n"/>
      <c r="AY149" s="63" t="n"/>
      <c r="AZ149" s="6" t="n"/>
      <c r="BA149" s="63" t="n"/>
      <c r="BB149" s="5" t="n"/>
      <c r="BC149" s="6" t="n"/>
      <c r="BD149" s="63" t="n"/>
      <c r="BE149" s="6" t="n"/>
      <c r="BF149" s="62" t="n"/>
      <c r="BG149" s="5" t="n"/>
      <c r="BH149" s="6" t="n"/>
      <c r="BI149" s="64" t="n"/>
      <c r="BJ149" s="5" t="n"/>
      <c r="BK149" s="42" t="n"/>
    </row>
    <row r="150" ht="20" customHeight="1">
      <c r="A150" s="65" t="n"/>
      <c r="B150" s="6" t="n"/>
      <c r="C150" s="66" t="n"/>
      <c r="D150" s="5" t="n"/>
      <c r="E150" s="5" t="n"/>
      <c r="F150" s="6" t="n"/>
      <c r="G150" s="66" t="n"/>
      <c r="H150" s="5" t="n"/>
      <c r="I150" s="6" t="n"/>
      <c r="J150" s="66" t="n"/>
      <c r="K150" s="5" t="n"/>
      <c r="L150" s="6" t="n"/>
      <c r="M150" s="66" t="n"/>
      <c r="N150" s="5" t="n"/>
      <c r="O150" s="5" t="n"/>
      <c r="P150" s="5" t="n"/>
      <c r="Q150" s="6" t="n"/>
      <c r="R150" s="66" t="n"/>
      <c r="S150" s="5" t="n"/>
      <c r="T150" s="5" t="n"/>
      <c r="U150" s="5" t="n"/>
      <c r="V150" s="5" t="n"/>
      <c r="W150" s="5" t="n"/>
      <c r="X150" s="6" t="n"/>
      <c r="Y150" s="66" t="n"/>
      <c r="Z150" s="5" t="n"/>
      <c r="AA150" s="5" t="n"/>
      <c r="AB150" s="5" t="n"/>
      <c r="AC150" s="5" t="n"/>
      <c r="AD150" s="6" t="n"/>
      <c r="AE150" s="67" t="n"/>
      <c r="AF150" s="6" t="n"/>
      <c r="AG150" s="67" t="n"/>
      <c r="AH150" s="6" t="n"/>
      <c r="AI150" s="67" t="n"/>
      <c r="AJ150" s="6" t="n"/>
      <c r="AK150" s="67" t="n"/>
      <c r="AL150" s="6" t="n"/>
      <c r="AM150" s="67" t="n"/>
      <c r="AN150" s="5" t="n"/>
      <c r="AO150" s="6" t="n"/>
      <c r="AP150" s="67" t="n"/>
      <c r="AQ150" s="6" t="n"/>
      <c r="AR150" s="66" t="n"/>
      <c r="AS150" s="5" t="n"/>
      <c r="AT150" s="6" t="n"/>
      <c r="AU150" s="67" t="n"/>
      <c r="AV150" s="6" t="n"/>
      <c r="AW150" s="67" t="n"/>
      <c r="AX150" s="6" t="n"/>
      <c r="AY150" s="67" t="n"/>
      <c r="AZ150" s="6" t="n"/>
      <c r="BA150" s="67" t="n"/>
      <c r="BB150" s="5" t="n"/>
      <c r="BC150" s="6" t="n"/>
      <c r="BD150" s="67" t="n"/>
      <c r="BE150" s="6" t="n"/>
      <c r="BF150" s="66" t="n"/>
      <c r="BG150" s="5" t="n"/>
      <c r="BH150" s="6" t="n"/>
      <c r="BI150" s="68" t="n"/>
      <c r="BJ150" s="5" t="n"/>
      <c r="BK150" s="42" t="n"/>
    </row>
    <row r="151" ht="20" customHeight="1">
      <c r="A151" s="61" t="n"/>
      <c r="B151" s="6" t="n"/>
      <c r="C151" s="62" t="n"/>
      <c r="D151" s="5" t="n"/>
      <c r="E151" s="5" t="n"/>
      <c r="F151" s="6" t="n"/>
      <c r="G151" s="62" t="n"/>
      <c r="H151" s="5" t="n"/>
      <c r="I151" s="6" t="n"/>
      <c r="J151" s="62" t="n"/>
      <c r="K151" s="5" t="n"/>
      <c r="L151" s="6" t="n"/>
      <c r="M151" s="62" t="n"/>
      <c r="N151" s="5" t="n"/>
      <c r="O151" s="5" t="n"/>
      <c r="P151" s="5" t="n"/>
      <c r="Q151" s="6" t="n"/>
      <c r="R151" s="62" t="n"/>
      <c r="S151" s="5" t="n"/>
      <c r="T151" s="5" t="n"/>
      <c r="U151" s="5" t="n"/>
      <c r="V151" s="5" t="n"/>
      <c r="W151" s="5" t="n"/>
      <c r="X151" s="6" t="n"/>
      <c r="Y151" s="62" t="n"/>
      <c r="Z151" s="5" t="n"/>
      <c r="AA151" s="5" t="n"/>
      <c r="AB151" s="5" t="n"/>
      <c r="AC151" s="5" t="n"/>
      <c r="AD151" s="6" t="n"/>
      <c r="AE151" s="63" t="n"/>
      <c r="AF151" s="6" t="n"/>
      <c r="AG151" s="63" t="n"/>
      <c r="AH151" s="6" t="n"/>
      <c r="AI151" s="63" t="n"/>
      <c r="AJ151" s="6" t="n"/>
      <c r="AK151" s="63" t="n"/>
      <c r="AL151" s="6" t="n"/>
      <c r="AM151" s="63" t="n"/>
      <c r="AN151" s="5" t="n"/>
      <c r="AO151" s="6" t="n"/>
      <c r="AP151" s="63" t="n"/>
      <c r="AQ151" s="6" t="n"/>
      <c r="AR151" s="62" t="n"/>
      <c r="AS151" s="5" t="n"/>
      <c r="AT151" s="6" t="n"/>
      <c r="AU151" s="63" t="n"/>
      <c r="AV151" s="6" t="n"/>
      <c r="AW151" s="63" t="n"/>
      <c r="AX151" s="6" t="n"/>
      <c r="AY151" s="63" t="n"/>
      <c r="AZ151" s="6" t="n"/>
      <c r="BA151" s="63" t="n"/>
      <c r="BB151" s="5" t="n"/>
      <c r="BC151" s="6" t="n"/>
      <c r="BD151" s="63" t="n"/>
      <c r="BE151" s="6" t="n"/>
      <c r="BF151" s="62" t="n"/>
      <c r="BG151" s="5" t="n"/>
      <c r="BH151" s="6" t="n"/>
      <c r="BI151" s="64" t="n"/>
      <c r="BJ151" s="5" t="n"/>
      <c r="BK151" s="42" t="n"/>
    </row>
    <row r="152" ht="20" customHeight="1">
      <c r="A152" s="65" t="n"/>
      <c r="B152" s="6" t="n"/>
      <c r="C152" s="66" t="n"/>
      <c r="D152" s="5" t="n"/>
      <c r="E152" s="5" t="n"/>
      <c r="F152" s="6" t="n"/>
      <c r="G152" s="66" t="n"/>
      <c r="H152" s="5" t="n"/>
      <c r="I152" s="6" t="n"/>
      <c r="J152" s="66" t="n"/>
      <c r="K152" s="5" t="n"/>
      <c r="L152" s="6" t="n"/>
      <c r="M152" s="66" t="n"/>
      <c r="N152" s="5" t="n"/>
      <c r="O152" s="5" t="n"/>
      <c r="P152" s="5" t="n"/>
      <c r="Q152" s="6" t="n"/>
      <c r="R152" s="66" t="n"/>
      <c r="S152" s="5" t="n"/>
      <c r="T152" s="5" t="n"/>
      <c r="U152" s="5" t="n"/>
      <c r="V152" s="5" t="n"/>
      <c r="W152" s="5" t="n"/>
      <c r="X152" s="6" t="n"/>
      <c r="Y152" s="66" t="n"/>
      <c r="Z152" s="5" t="n"/>
      <c r="AA152" s="5" t="n"/>
      <c r="AB152" s="5" t="n"/>
      <c r="AC152" s="5" t="n"/>
      <c r="AD152" s="6" t="n"/>
      <c r="AE152" s="67" t="n"/>
      <c r="AF152" s="6" t="n"/>
      <c r="AG152" s="67" t="n"/>
      <c r="AH152" s="6" t="n"/>
      <c r="AI152" s="67" t="n"/>
      <c r="AJ152" s="6" t="n"/>
      <c r="AK152" s="67" t="n"/>
      <c r="AL152" s="6" t="n"/>
      <c r="AM152" s="67" t="n"/>
      <c r="AN152" s="5" t="n"/>
      <c r="AO152" s="6" t="n"/>
      <c r="AP152" s="67" t="n"/>
      <c r="AQ152" s="6" t="n"/>
      <c r="AR152" s="66" t="n"/>
      <c r="AS152" s="5" t="n"/>
      <c r="AT152" s="6" t="n"/>
      <c r="AU152" s="67" t="n"/>
      <c r="AV152" s="6" t="n"/>
      <c r="AW152" s="67" t="n"/>
      <c r="AX152" s="6" t="n"/>
      <c r="AY152" s="67" t="n"/>
      <c r="AZ152" s="6" t="n"/>
      <c r="BA152" s="67" t="n"/>
      <c r="BB152" s="5" t="n"/>
      <c r="BC152" s="6" t="n"/>
      <c r="BD152" s="67" t="n"/>
      <c r="BE152" s="6" t="n"/>
      <c r="BF152" s="66" t="n"/>
      <c r="BG152" s="5" t="n"/>
      <c r="BH152" s="6" t="n"/>
      <c r="BI152" s="68" t="n"/>
      <c r="BJ152" s="5" t="n"/>
      <c r="BK152" s="42" t="n"/>
    </row>
    <row r="153" ht="20" customHeight="1">
      <c r="A153" s="61" t="n"/>
      <c r="B153" s="6" t="n"/>
      <c r="C153" s="62" t="n"/>
      <c r="D153" s="5" t="n"/>
      <c r="E153" s="5" t="n"/>
      <c r="F153" s="6" t="n"/>
      <c r="G153" s="62" t="n"/>
      <c r="H153" s="5" t="n"/>
      <c r="I153" s="6" t="n"/>
      <c r="J153" s="62" t="n"/>
      <c r="K153" s="5" t="n"/>
      <c r="L153" s="6" t="n"/>
      <c r="M153" s="62" t="n"/>
      <c r="N153" s="5" t="n"/>
      <c r="O153" s="5" t="n"/>
      <c r="P153" s="5" t="n"/>
      <c r="Q153" s="6" t="n"/>
      <c r="R153" s="62" t="n"/>
      <c r="S153" s="5" t="n"/>
      <c r="T153" s="5" t="n"/>
      <c r="U153" s="5" t="n"/>
      <c r="V153" s="5" t="n"/>
      <c r="W153" s="5" t="n"/>
      <c r="X153" s="6" t="n"/>
      <c r="Y153" s="62" t="n"/>
      <c r="Z153" s="5" t="n"/>
      <c r="AA153" s="5" t="n"/>
      <c r="AB153" s="5" t="n"/>
      <c r="AC153" s="5" t="n"/>
      <c r="AD153" s="6" t="n"/>
      <c r="AE153" s="63" t="n"/>
      <c r="AF153" s="6" t="n"/>
      <c r="AG153" s="63" t="n"/>
      <c r="AH153" s="6" t="n"/>
      <c r="AI153" s="63" t="n"/>
      <c r="AJ153" s="6" t="n"/>
      <c r="AK153" s="63" t="n"/>
      <c r="AL153" s="6" t="n"/>
      <c r="AM153" s="63" t="n"/>
      <c r="AN153" s="5" t="n"/>
      <c r="AO153" s="6" t="n"/>
      <c r="AP153" s="63" t="n"/>
      <c r="AQ153" s="6" t="n"/>
      <c r="AR153" s="62" t="n"/>
      <c r="AS153" s="5" t="n"/>
      <c r="AT153" s="6" t="n"/>
      <c r="AU153" s="63" t="n"/>
      <c r="AV153" s="6" t="n"/>
      <c r="AW153" s="63" t="n"/>
      <c r="AX153" s="6" t="n"/>
      <c r="AY153" s="63" t="n"/>
      <c r="AZ153" s="6" t="n"/>
      <c r="BA153" s="63" t="n"/>
      <c r="BB153" s="5" t="n"/>
      <c r="BC153" s="6" t="n"/>
      <c r="BD153" s="63" t="n"/>
      <c r="BE153" s="6" t="n"/>
      <c r="BF153" s="62" t="n"/>
      <c r="BG153" s="5" t="n"/>
      <c r="BH153" s="6" t="n"/>
      <c r="BI153" s="64" t="n"/>
      <c r="BJ153" s="5" t="n"/>
      <c r="BK153" s="42" t="n"/>
    </row>
    <row r="154" ht="20" customHeight="1">
      <c r="A154" s="65" t="n"/>
      <c r="B154" s="6" t="n"/>
      <c r="C154" s="66" t="n"/>
      <c r="D154" s="5" t="n"/>
      <c r="E154" s="5" t="n"/>
      <c r="F154" s="6" t="n"/>
      <c r="G154" s="66" t="n"/>
      <c r="H154" s="5" t="n"/>
      <c r="I154" s="6" t="n"/>
      <c r="J154" s="66" t="n"/>
      <c r="K154" s="5" t="n"/>
      <c r="L154" s="6" t="n"/>
      <c r="M154" s="66" t="n"/>
      <c r="N154" s="5" t="n"/>
      <c r="O154" s="5" t="n"/>
      <c r="P154" s="5" t="n"/>
      <c r="Q154" s="6" t="n"/>
      <c r="R154" s="66" t="n"/>
      <c r="S154" s="5" t="n"/>
      <c r="T154" s="5" t="n"/>
      <c r="U154" s="5" t="n"/>
      <c r="V154" s="5" t="n"/>
      <c r="W154" s="5" t="n"/>
      <c r="X154" s="6" t="n"/>
      <c r="Y154" s="66" t="n"/>
      <c r="Z154" s="5" t="n"/>
      <c r="AA154" s="5" t="n"/>
      <c r="AB154" s="5" t="n"/>
      <c r="AC154" s="5" t="n"/>
      <c r="AD154" s="6" t="n"/>
      <c r="AE154" s="67" t="n"/>
      <c r="AF154" s="6" t="n"/>
      <c r="AG154" s="67" t="n"/>
      <c r="AH154" s="6" t="n"/>
      <c r="AI154" s="67" t="n"/>
      <c r="AJ154" s="6" t="n"/>
      <c r="AK154" s="67" t="n"/>
      <c r="AL154" s="6" t="n"/>
      <c r="AM154" s="67" t="n"/>
      <c r="AN154" s="5" t="n"/>
      <c r="AO154" s="6" t="n"/>
      <c r="AP154" s="67" t="n"/>
      <c r="AQ154" s="6" t="n"/>
      <c r="AR154" s="66" t="n"/>
      <c r="AS154" s="5" t="n"/>
      <c r="AT154" s="6" t="n"/>
      <c r="AU154" s="67" t="n"/>
      <c r="AV154" s="6" t="n"/>
      <c r="AW154" s="67" t="n"/>
      <c r="AX154" s="6" t="n"/>
      <c r="AY154" s="67" t="n"/>
      <c r="AZ154" s="6" t="n"/>
      <c r="BA154" s="67" t="n"/>
      <c r="BB154" s="5" t="n"/>
      <c r="BC154" s="6" t="n"/>
      <c r="BD154" s="67" t="n"/>
      <c r="BE154" s="6" t="n"/>
      <c r="BF154" s="66" t="n"/>
      <c r="BG154" s="5" t="n"/>
      <c r="BH154" s="6" t="n"/>
      <c r="BI154" s="68" t="n"/>
      <c r="BJ154" s="5" t="n"/>
      <c r="BK154" s="42" t="n"/>
    </row>
    <row r="155" ht="20" customHeight="1">
      <c r="A155" s="61" t="n"/>
      <c r="B155" s="6" t="n"/>
      <c r="C155" s="62" t="n"/>
      <c r="D155" s="5" t="n"/>
      <c r="E155" s="5" t="n"/>
      <c r="F155" s="6" t="n"/>
      <c r="G155" s="62" t="n"/>
      <c r="H155" s="5" t="n"/>
      <c r="I155" s="6" t="n"/>
      <c r="J155" s="62" t="n"/>
      <c r="K155" s="5" t="n"/>
      <c r="L155" s="6" t="n"/>
      <c r="M155" s="62" t="n"/>
      <c r="N155" s="5" t="n"/>
      <c r="O155" s="5" t="n"/>
      <c r="P155" s="5" t="n"/>
      <c r="Q155" s="6" t="n"/>
      <c r="R155" s="62" t="n"/>
      <c r="S155" s="5" t="n"/>
      <c r="T155" s="5" t="n"/>
      <c r="U155" s="5" t="n"/>
      <c r="V155" s="5" t="n"/>
      <c r="W155" s="5" t="n"/>
      <c r="X155" s="6" t="n"/>
      <c r="Y155" s="62" t="n"/>
      <c r="Z155" s="5" t="n"/>
      <c r="AA155" s="5" t="n"/>
      <c r="AB155" s="5" t="n"/>
      <c r="AC155" s="5" t="n"/>
      <c r="AD155" s="6" t="n"/>
      <c r="AE155" s="63" t="n"/>
      <c r="AF155" s="6" t="n"/>
      <c r="AG155" s="63" t="n"/>
      <c r="AH155" s="6" t="n"/>
      <c r="AI155" s="63" t="n"/>
      <c r="AJ155" s="6" t="n"/>
      <c r="AK155" s="63" t="n"/>
      <c r="AL155" s="6" t="n"/>
      <c r="AM155" s="63" t="n"/>
      <c r="AN155" s="5" t="n"/>
      <c r="AO155" s="6" t="n"/>
      <c r="AP155" s="63" t="n"/>
      <c r="AQ155" s="6" t="n"/>
      <c r="AR155" s="62" t="n"/>
      <c r="AS155" s="5" t="n"/>
      <c r="AT155" s="6" t="n"/>
      <c r="AU155" s="63" t="n"/>
      <c r="AV155" s="6" t="n"/>
      <c r="AW155" s="63" t="n"/>
      <c r="AX155" s="6" t="n"/>
      <c r="AY155" s="63" t="n"/>
      <c r="AZ155" s="6" t="n"/>
      <c r="BA155" s="63" t="n"/>
      <c r="BB155" s="5" t="n"/>
      <c r="BC155" s="6" t="n"/>
      <c r="BD155" s="63" t="n"/>
      <c r="BE155" s="6" t="n"/>
      <c r="BF155" s="62" t="n"/>
      <c r="BG155" s="5" t="n"/>
      <c r="BH155" s="6" t="n"/>
      <c r="BI155" s="64" t="n"/>
      <c r="BJ155" s="5" t="n"/>
      <c r="BK155" s="42" t="n"/>
    </row>
    <row r="156" ht="20" customHeight="1">
      <c r="A156" s="65" t="n"/>
      <c r="B156" s="6" t="n"/>
      <c r="C156" s="66" t="n"/>
      <c r="D156" s="5" t="n"/>
      <c r="E156" s="5" t="n"/>
      <c r="F156" s="6" t="n"/>
      <c r="G156" s="66" t="n"/>
      <c r="H156" s="5" t="n"/>
      <c r="I156" s="6" t="n"/>
      <c r="J156" s="66" t="n"/>
      <c r="K156" s="5" t="n"/>
      <c r="L156" s="6" t="n"/>
      <c r="M156" s="66" t="n"/>
      <c r="N156" s="5" t="n"/>
      <c r="O156" s="5" t="n"/>
      <c r="P156" s="5" t="n"/>
      <c r="Q156" s="6" t="n"/>
      <c r="R156" s="66" t="n"/>
      <c r="S156" s="5" t="n"/>
      <c r="T156" s="5" t="n"/>
      <c r="U156" s="5" t="n"/>
      <c r="V156" s="5" t="n"/>
      <c r="W156" s="5" t="n"/>
      <c r="X156" s="6" t="n"/>
      <c r="Y156" s="66" t="n"/>
      <c r="Z156" s="5" t="n"/>
      <c r="AA156" s="5" t="n"/>
      <c r="AB156" s="5" t="n"/>
      <c r="AC156" s="5" t="n"/>
      <c r="AD156" s="6" t="n"/>
      <c r="AE156" s="67" t="n"/>
      <c r="AF156" s="6" t="n"/>
      <c r="AG156" s="67" t="n"/>
      <c r="AH156" s="6" t="n"/>
      <c r="AI156" s="67" t="n"/>
      <c r="AJ156" s="6" t="n"/>
      <c r="AK156" s="67" t="n"/>
      <c r="AL156" s="6" t="n"/>
      <c r="AM156" s="67" t="n"/>
      <c r="AN156" s="5" t="n"/>
      <c r="AO156" s="6" t="n"/>
      <c r="AP156" s="67" t="n"/>
      <c r="AQ156" s="6" t="n"/>
      <c r="AR156" s="66" t="n"/>
      <c r="AS156" s="5" t="n"/>
      <c r="AT156" s="6" t="n"/>
      <c r="AU156" s="67" t="n"/>
      <c r="AV156" s="6" t="n"/>
      <c r="AW156" s="67" t="n"/>
      <c r="AX156" s="6" t="n"/>
      <c r="AY156" s="67" t="n"/>
      <c r="AZ156" s="6" t="n"/>
      <c r="BA156" s="67" t="n"/>
      <c r="BB156" s="5" t="n"/>
      <c r="BC156" s="6" t="n"/>
      <c r="BD156" s="67" t="n"/>
      <c r="BE156" s="6" t="n"/>
      <c r="BF156" s="66" t="n"/>
      <c r="BG156" s="5" t="n"/>
      <c r="BH156" s="6" t="n"/>
      <c r="BI156" s="68" t="n"/>
      <c r="BJ156" s="5" t="n"/>
      <c r="BK156" s="42" t="n"/>
    </row>
    <row r="157" ht="20" customHeight="1">
      <c r="A157" s="61" t="n"/>
      <c r="B157" s="6" t="n"/>
      <c r="C157" s="62" t="n"/>
      <c r="D157" s="5" t="n"/>
      <c r="E157" s="5" t="n"/>
      <c r="F157" s="6" t="n"/>
      <c r="G157" s="62" t="n"/>
      <c r="H157" s="5" t="n"/>
      <c r="I157" s="6" t="n"/>
      <c r="J157" s="62" t="n"/>
      <c r="K157" s="5" t="n"/>
      <c r="L157" s="6" t="n"/>
      <c r="M157" s="62" t="n"/>
      <c r="N157" s="5" t="n"/>
      <c r="O157" s="5" t="n"/>
      <c r="P157" s="5" t="n"/>
      <c r="Q157" s="6" t="n"/>
      <c r="R157" s="62" t="n"/>
      <c r="S157" s="5" t="n"/>
      <c r="T157" s="5" t="n"/>
      <c r="U157" s="5" t="n"/>
      <c r="V157" s="5" t="n"/>
      <c r="W157" s="5" t="n"/>
      <c r="X157" s="6" t="n"/>
      <c r="Y157" s="62" t="n"/>
      <c r="Z157" s="5" t="n"/>
      <c r="AA157" s="5" t="n"/>
      <c r="AB157" s="5" t="n"/>
      <c r="AC157" s="5" t="n"/>
      <c r="AD157" s="6" t="n"/>
      <c r="AE157" s="63" t="n"/>
      <c r="AF157" s="6" t="n"/>
      <c r="AG157" s="63" t="n"/>
      <c r="AH157" s="6" t="n"/>
      <c r="AI157" s="63" t="n"/>
      <c r="AJ157" s="6" t="n"/>
      <c r="AK157" s="63" t="n"/>
      <c r="AL157" s="6" t="n"/>
      <c r="AM157" s="63" t="n"/>
      <c r="AN157" s="5" t="n"/>
      <c r="AO157" s="6" t="n"/>
      <c r="AP157" s="63" t="n"/>
      <c r="AQ157" s="6" t="n"/>
      <c r="AR157" s="62" t="n"/>
      <c r="AS157" s="5" t="n"/>
      <c r="AT157" s="6" t="n"/>
      <c r="AU157" s="63" t="n"/>
      <c r="AV157" s="6" t="n"/>
      <c r="AW157" s="63" t="n"/>
      <c r="AX157" s="6" t="n"/>
      <c r="AY157" s="63" t="n"/>
      <c r="AZ157" s="6" t="n"/>
      <c r="BA157" s="63" t="n"/>
      <c r="BB157" s="5" t="n"/>
      <c r="BC157" s="6" t="n"/>
      <c r="BD157" s="63" t="n"/>
      <c r="BE157" s="6" t="n"/>
      <c r="BF157" s="62" t="n"/>
      <c r="BG157" s="5" t="n"/>
      <c r="BH157" s="6" t="n"/>
      <c r="BI157" s="64" t="n"/>
      <c r="BJ157" s="5" t="n"/>
      <c r="BK157" s="42" t="n"/>
    </row>
    <row r="158" ht="20" customHeight="1">
      <c r="A158" s="65" t="n"/>
      <c r="B158" s="6" t="n"/>
      <c r="C158" s="66" t="n"/>
      <c r="D158" s="5" t="n"/>
      <c r="E158" s="5" t="n"/>
      <c r="F158" s="6" t="n"/>
      <c r="G158" s="66" t="n"/>
      <c r="H158" s="5" t="n"/>
      <c r="I158" s="6" t="n"/>
      <c r="J158" s="66" t="n"/>
      <c r="K158" s="5" t="n"/>
      <c r="L158" s="6" t="n"/>
      <c r="M158" s="66" t="n"/>
      <c r="N158" s="5" t="n"/>
      <c r="O158" s="5" t="n"/>
      <c r="P158" s="5" t="n"/>
      <c r="Q158" s="6" t="n"/>
      <c r="R158" s="66" t="n"/>
      <c r="S158" s="5" t="n"/>
      <c r="T158" s="5" t="n"/>
      <c r="U158" s="5" t="n"/>
      <c r="V158" s="5" t="n"/>
      <c r="W158" s="5" t="n"/>
      <c r="X158" s="6" t="n"/>
      <c r="Y158" s="66" t="n"/>
      <c r="Z158" s="5" t="n"/>
      <c r="AA158" s="5" t="n"/>
      <c r="AB158" s="5" t="n"/>
      <c r="AC158" s="5" t="n"/>
      <c r="AD158" s="6" t="n"/>
      <c r="AE158" s="67" t="n"/>
      <c r="AF158" s="6" t="n"/>
      <c r="AG158" s="67" t="n"/>
      <c r="AH158" s="6" t="n"/>
      <c r="AI158" s="67" t="n"/>
      <c r="AJ158" s="6" t="n"/>
      <c r="AK158" s="67" t="n"/>
      <c r="AL158" s="6" t="n"/>
      <c r="AM158" s="67" t="n"/>
      <c r="AN158" s="5" t="n"/>
      <c r="AO158" s="6" t="n"/>
      <c r="AP158" s="67" t="n"/>
      <c r="AQ158" s="6" t="n"/>
      <c r="AR158" s="66" t="n"/>
      <c r="AS158" s="5" t="n"/>
      <c r="AT158" s="6" t="n"/>
      <c r="AU158" s="67" t="n"/>
      <c r="AV158" s="6" t="n"/>
      <c r="AW158" s="67" t="n"/>
      <c r="AX158" s="6" t="n"/>
      <c r="AY158" s="67" t="n"/>
      <c r="AZ158" s="6" t="n"/>
      <c r="BA158" s="67" t="n"/>
      <c r="BB158" s="5" t="n"/>
      <c r="BC158" s="6" t="n"/>
      <c r="BD158" s="67" t="n"/>
      <c r="BE158" s="6" t="n"/>
      <c r="BF158" s="66" t="n"/>
      <c r="BG158" s="5" t="n"/>
      <c r="BH158" s="6" t="n"/>
      <c r="BI158" s="68" t="n"/>
      <c r="BJ158" s="5" t="n"/>
      <c r="BK158" s="42" t="n"/>
    </row>
    <row r="159" ht="20" customHeight="1">
      <c r="A159" s="61" t="n"/>
      <c r="B159" s="6" t="n"/>
      <c r="C159" s="62" t="n"/>
      <c r="D159" s="5" t="n"/>
      <c r="E159" s="5" t="n"/>
      <c r="F159" s="6" t="n"/>
      <c r="G159" s="62" t="n"/>
      <c r="H159" s="5" t="n"/>
      <c r="I159" s="6" t="n"/>
      <c r="J159" s="62" t="n"/>
      <c r="K159" s="5" t="n"/>
      <c r="L159" s="6" t="n"/>
      <c r="M159" s="62" t="n"/>
      <c r="N159" s="5" t="n"/>
      <c r="O159" s="5" t="n"/>
      <c r="P159" s="5" t="n"/>
      <c r="Q159" s="6" t="n"/>
      <c r="R159" s="62" t="n"/>
      <c r="S159" s="5" t="n"/>
      <c r="T159" s="5" t="n"/>
      <c r="U159" s="5" t="n"/>
      <c r="V159" s="5" t="n"/>
      <c r="W159" s="5" t="n"/>
      <c r="X159" s="6" t="n"/>
      <c r="Y159" s="62" t="n"/>
      <c r="Z159" s="5" t="n"/>
      <c r="AA159" s="5" t="n"/>
      <c r="AB159" s="5" t="n"/>
      <c r="AC159" s="5" t="n"/>
      <c r="AD159" s="6" t="n"/>
      <c r="AE159" s="63" t="n"/>
      <c r="AF159" s="6" t="n"/>
      <c r="AG159" s="63" t="n"/>
      <c r="AH159" s="6" t="n"/>
      <c r="AI159" s="63" t="n"/>
      <c r="AJ159" s="6" t="n"/>
      <c r="AK159" s="63" t="n"/>
      <c r="AL159" s="6" t="n"/>
      <c r="AM159" s="63" t="n"/>
      <c r="AN159" s="5" t="n"/>
      <c r="AO159" s="6" t="n"/>
      <c r="AP159" s="63" t="n"/>
      <c r="AQ159" s="6" t="n"/>
      <c r="AR159" s="62" t="n"/>
      <c r="AS159" s="5" t="n"/>
      <c r="AT159" s="6" t="n"/>
      <c r="AU159" s="63" t="n"/>
      <c r="AV159" s="6" t="n"/>
      <c r="AW159" s="63" t="n"/>
      <c r="AX159" s="6" t="n"/>
      <c r="AY159" s="63" t="n"/>
      <c r="AZ159" s="6" t="n"/>
      <c r="BA159" s="63" t="n"/>
      <c r="BB159" s="5" t="n"/>
      <c r="BC159" s="6" t="n"/>
      <c r="BD159" s="63" t="n"/>
      <c r="BE159" s="6" t="n"/>
      <c r="BF159" s="62" t="n"/>
      <c r="BG159" s="5" t="n"/>
      <c r="BH159" s="6" t="n"/>
      <c r="BI159" s="64" t="n"/>
      <c r="BJ159" s="5" t="n"/>
      <c r="BK159" s="42" t="n"/>
    </row>
    <row r="160" ht="20" customHeight="1">
      <c r="A160" s="65" t="n"/>
      <c r="B160" s="6" t="n"/>
      <c r="C160" s="66" t="n"/>
      <c r="D160" s="5" t="n"/>
      <c r="E160" s="5" t="n"/>
      <c r="F160" s="6" t="n"/>
      <c r="G160" s="66" t="n"/>
      <c r="H160" s="5" t="n"/>
      <c r="I160" s="6" t="n"/>
      <c r="J160" s="66" t="n"/>
      <c r="K160" s="5" t="n"/>
      <c r="L160" s="6" t="n"/>
      <c r="M160" s="66" t="n"/>
      <c r="N160" s="5" t="n"/>
      <c r="O160" s="5" t="n"/>
      <c r="P160" s="5" t="n"/>
      <c r="Q160" s="6" t="n"/>
      <c r="R160" s="66" t="n"/>
      <c r="S160" s="5" t="n"/>
      <c r="T160" s="5" t="n"/>
      <c r="U160" s="5" t="n"/>
      <c r="V160" s="5" t="n"/>
      <c r="W160" s="5" t="n"/>
      <c r="X160" s="6" t="n"/>
      <c r="Y160" s="66" t="n"/>
      <c r="Z160" s="5" t="n"/>
      <c r="AA160" s="5" t="n"/>
      <c r="AB160" s="5" t="n"/>
      <c r="AC160" s="5" t="n"/>
      <c r="AD160" s="6" t="n"/>
      <c r="AE160" s="67" t="n"/>
      <c r="AF160" s="6" t="n"/>
      <c r="AG160" s="67" t="n"/>
      <c r="AH160" s="6" t="n"/>
      <c r="AI160" s="67" t="n"/>
      <c r="AJ160" s="6" t="n"/>
      <c r="AK160" s="67" t="n"/>
      <c r="AL160" s="6" t="n"/>
      <c r="AM160" s="67" t="n"/>
      <c r="AN160" s="5" t="n"/>
      <c r="AO160" s="6" t="n"/>
      <c r="AP160" s="67" t="n"/>
      <c r="AQ160" s="6" t="n"/>
      <c r="AR160" s="66" t="n"/>
      <c r="AS160" s="5" t="n"/>
      <c r="AT160" s="6" t="n"/>
      <c r="AU160" s="67" t="n"/>
      <c r="AV160" s="6" t="n"/>
      <c r="AW160" s="67" t="n"/>
      <c r="AX160" s="6" t="n"/>
      <c r="AY160" s="67" t="n"/>
      <c r="AZ160" s="6" t="n"/>
      <c r="BA160" s="67" t="n"/>
      <c r="BB160" s="5" t="n"/>
      <c r="BC160" s="6" t="n"/>
      <c r="BD160" s="67" t="n"/>
      <c r="BE160" s="6" t="n"/>
      <c r="BF160" s="66" t="n"/>
      <c r="BG160" s="5" t="n"/>
      <c r="BH160" s="6" t="n"/>
      <c r="BI160" s="68" t="n"/>
      <c r="BJ160" s="5" t="n"/>
      <c r="BK160" s="42" t="n"/>
    </row>
    <row r="161" ht="20" customHeight="1">
      <c r="A161" s="61" t="n"/>
      <c r="B161" s="6" t="n"/>
      <c r="C161" s="62" t="n"/>
      <c r="D161" s="5" t="n"/>
      <c r="E161" s="5" t="n"/>
      <c r="F161" s="6" t="n"/>
      <c r="G161" s="62" t="n"/>
      <c r="H161" s="5" t="n"/>
      <c r="I161" s="6" t="n"/>
      <c r="J161" s="62" t="n"/>
      <c r="K161" s="5" t="n"/>
      <c r="L161" s="6" t="n"/>
      <c r="M161" s="62" t="n"/>
      <c r="N161" s="5" t="n"/>
      <c r="O161" s="5" t="n"/>
      <c r="P161" s="5" t="n"/>
      <c r="Q161" s="6" t="n"/>
      <c r="R161" s="62" t="n"/>
      <c r="S161" s="5" t="n"/>
      <c r="T161" s="5" t="n"/>
      <c r="U161" s="5" t="n"/>
      <c r="V161" s="5" t="n"/>
      <c r="W161" s="5" t="n"/>
      <c r="X161" s="6" t="n"/>
      <c r="Y161" s="62" t="n"/>
      <c r="Z161" s="5" t="n"/>
      <c r="AA161" s="5" t="n"/>
      <c r="AB161" s="5" t="n"/>
      <c r="AC161" s="5" t="n"/>
      <c r="AD161" s="6" t="n"/>
      <c r="AE161" s="63" t="n"/>
      <c r="AF161" s="6" t="n"/>
      <c r="AG161" s="63" t="n"/>
      <c r="AH161" s="6" t="n"/>
      <c r="AI161" s="63" t="n"/>
      <c r="AJ161" s="6" t="n"/>
      <c r="AK161" s="63" t="n"/>
      <c r="AL161" s="6" t="n"/>
      <c r="AM161" s="63" t="n"/>
      <c r="AN161" s="5" t="n"/>
      <c r="AO161" s="6" t="n"/>
      <c r="AP161" s="63" t="n"/>
      <c r="AQ161" s="6" t="n"/>
      <c r="AR161" s="62" t="n"/>
      <c r="AS161" s="5" t="n"/>
      <c r="AT161" s="6" t="n"/>
      <c r="AU161" s="63" t="n"/>
      <c r="AV161" s="6" t="n"/>
      <c r="AW161" s="63" t="n"/>
      <c r="AX161" s="6" t="n"/>
      <c r="AY161" s="63" t="n"/>
      <c r="AZ161" s="6" t="n"/>
      <c r="BA161" s="63" t="n"/>
      <c r="BB161" s="5" t="n"/>
      <c r="BC161" s="6" t="n"/>
      <c r="BD161" s="63" t="n"/>
      <c r="BE161" s="6" t="n"/>
      <c r="BF161" s="62" t="n"/>
      <c r="BG161" s="5" t="n"/>
      <c r="BH161" s="6" t="n"/>
      <c r="BI161" s="64" t="n"/>
      <c r="BJ161" s="5" t="n"/>
      <c r="BK161" s="42" t="n"/>
    </row>
    <row r="162" ht="20" customHeight="1">
      <c r="A162" s="65" t="n"/>
      <c r="B162" s="6" t="n"/>
      <c r="C162" s="66" t="n"/>
      <c r="D162" s="5" t="n"/>
      <c r="E162" s="5" t="n"/>
      <c r="F162" s="6" t="n"/>
      <c r="G162" s="66" t="n"/>
      <c r="H162" s="5" t="n"/>
      <c r="I162" s="6" t="n"/>
      <c r="J162" s="66" t="n"/>
      <c r="K162" s="5" t="n"/>
      <c r="L162" s="6" t="n"/>
      <c r="M162" s="66" t="n"/>
      <c r="N162" s="5" t="n"/>
      <c r="O162" s="5" t="n"/>
      <c r="P162" s="5" t="n"/>
      <c r="Q162" s="6" t="n"/>
      <c r="R162" s="66" t="n"/>
      <c r="S162" s="5" t="n"/>
      <c r="T162" s="5" t="n"/>
      <c r="U162" s="5" t="n"/>
      <c r="V162" s="5" t="n"/>
      <c r="W162" s="5" t="n"/>
      <c r="X162" s="6" t="n"/>
      <c r="Y162" s="66" t="n"/>
      <c r="Z162" s="5" t="n"/>
      <c r="AA162" s="5" t="n"/>
      <c r="AB162" s="5" t="n"/>
      <c r="AC162" s="5" t="n"/>
      <c r="AD162" s="6" t="n"/>
      <c r="AE162" s="67" t="n"/>
      <c r="AF162" s="6" t="n"/>
      <c r="AG162" s="67" t="n"/>
      <c r="AH162" s="6" t="n"/>
      <c r="AI162" s="67" t="n"/>
      <c r="AJ162" s="6" t="n"/>
      <c r="AK162" s="67" t="n"/>
      <c r="AL162" s="6" t="n"/>
      <c r="AM162" s="67" t="n"/>
      <c r="AN162" s="5" t="n"/>
      <c r="AO162" s="6" t="n"/>
      <c r="AP162" s="67" t="n"/>
      <c r="AQ162" s="6" t="n"/>
      <c r="AR162" s="66" t="n"/>
      <c r="AS162" s="5" t="n"/>
      <c r="AT162" s="6" t="n"/>
      <c r="AU162" s="67" t="n"/>
      <c r="AV162" s="6" t="n"/>
      <c r="AW162" s="67" t="n"/>
      <c r="AX162" s="6" t="n"/>
      <c r="AY162" s="67" t="n"/>
      <c r="AZ162" s="6" t="n"/>
      <c r="BA162" s="67" t="n"/>
      <c r="BB162" s="5" t="n"/>
      <c r="BC162" s="6" t="n"/>
      <c r="BD162" s="67" t="n"/>
      <c r="BE162" s="6" t="n"/>
      <c r="BF162" s="66" t="n"/>
      <c r="BG162" s="5" t="n"/>
      <c r="BH162" s="6" t="n"/>
      <c r="BI162" s="68" t="n"/>
      <c r="BJ162" s="5" t="n"/>
      <c r="BK162" s="42" t="n"/>
    </row>
    <row r="163" ht="20" customHeight="1">
      <c r="A163" s="61" t="n"/>
      <c r="B163" s="6" t="n"/>
      <c r="C163" s="62" t="n"/>
      <c r="D163" s="5" t="n"/>
      <c r="E163" s="5" t="n"/>
      <c r="F163" s="6" t="n"/>
      <c r="G163" s="62" t="n"/>
      <c r="H163" s="5" t="n"/>
      <c r="I163" s="6" t="n"/>
      <c r="J163" s="62" t="n"/>
      <c r="K163" s="5" t="n"/>
      <c r="L163" s="6" t="n"/>
      <c r="M163" s="62" t="n"/>
      <c r="N163" s="5" t="n"/>
      <c r="O163" s="5" t="n"/>
      <c r="P163" s="5" t="n"/>
      <c r="Q163" s="6" t="n"/>
      <c r="R163" s="62" t="n"/>
      <c r="S163" s="5" t="n"/>
      <c r="T163" s="5" t="n"/>
      <c r="U163" s="5" t="n"/>
      <c r="V163" s="5" t="n"/>
      <c r="W163" s="5" t="n"/>
      <c r="X163" s="6" t="n"/>
      <c r="Y163" s="62" t="n"/>
      <c r="Z163" s="5" t="n"/>
      <c r="AA163" s="5" t="n"/>
      <c r="AB163" s="5" t="n"/>
      <c r="AC163" s="5" t="n"/>
      <c r="AD163" s="6" t="n"/>
      <c r="AE163" s="63" t="n"/>
      <c r="AF163" s="6" t="n"/>
      <c r="AG163" s="63" t="n"/>
      <c r="AH163" s="6" t="n"/>
      <c r="AI163" s="63" t="n"/>
      <c r="AJ163" s="6" t="n"/>
      <c r="AK163" s="63" t="n"/>
      <c r="AL163" s="6" t="n"/>
      <c r="AM163" s="63" t="n"/>
      <c r="AN163" s="5" t="n"/>
      <c r="AO163" s="6" t="n"/>
      <c r="AP163" s="63" t="n"/>
      <c r="AQ163" s="6" t="n"/>
      <c r="AR163" s="62" t="n"/>
      <c r="AS163" s="5" t="n"/>
      <c r="AT163" s="6" t="n"/>
      <c r="AU163" s="63" t="n"/>
      <c r="AV163" s="6" t="n"/>
      <c r="AW163" s="63" t="n"/>
      <c r="AX163" s="6" t="n"/>
      <c r="AY163" s="63" t="n"/>
      <c r="AZ163" s="6" t="n"/>
      <c r="BA163" s="63" t="n"/>
      <c r="BB163" s="5" t="n"/>
      <c r="BC163" s="6" t="n"/>
      <c r="BD163" s="63" t="n"/>
      <c r="BE163" s="6" t="n"/>
      <c r="BF163" s="62" t="n"/>
      <c r="BG163" s="5" t="n"/>
      <c r="BH163" s="6" t="n"/>
      <c r="BI163" s="64" t="n"/>
      <c r="BJ163" s="5" t="n"/>
      <c r="BK163" s="42" t="n"/>
    </row>
    <row r="164" ht="20" customHeight="1">
      <c r="A164" s="65" t="n"/>
      <c r="B164" s="6" t="n"/>
      <c r="C164" s="66" t="n"/>
      <c r="D164" s="5" t="n"/>
      <c r="E164" s="5" t="n"/>
      <c r="F164" s="6" t="n"/>
      <c r="G164" s="66" t="n"/>
      <c r="H164" s="5" t="n"/>
      <c r="I164" s="6" t="n"/>
      <c r="J164" s="66" t="n"/>
      <c r="K164" s="5" t="n"/>
      <c r="L164" s="6" t="n"/>
      <c r="M164" s="66" t="n"/>
      <c r="N164" s="5" t="n"/>
      <c r="O164" s="5" t="n"/>
      <c r="P164" s="5" t="n"/>
      <c r="Q164" s="6" t="n"/>
      <c r="R164" s="66" t="n"/>
      <c r="S164" s="5" t="n"/>
      <c r="T164" s="5" t="n"/>
      <c r="U164" s="5" t="n"/>
      <c r="V164" s="5" t="n"/>
      <c r="W164" s="5" t="n"/>
      <c r="X164" s="6" t="n"/>
      <c r="Y164" s="66" t="n"/>
      <c r="Z164" s="5" t="n"/>
      <c r="AA164" s="5" t="n"/>
      <c r="AB164" s="5" t="n"/>
      <c r="AC164" s="5" t="n"/>
      <c r="AD164" s="6" t="n"/>
      <c r="AE164" s="67" t="n"/>
      <c r="AF164" s="6" t="n"/>
      <c r="AG164" s="67" t="n"/>
      <c r="AH164" s="6" t="n"/>
      <c r="AI164" s="67" t="n"/>
      <c r="AJ164" s="6" t="n"/>
      <c r="AK164" s="67" t="n"/>
      <c r="AL164" s="6" t="n"/>
      <c r="AM164" s="67" t="n"/>
      <c r="AN164" s="5" t="n"/>
      <c r="AO164" s="6" t="n"/>
      <c r="AP164" s="67" t="n"/>
      <c r="AQ164" s="6" t="n"/>
      <c r="AR164" s="66" t="n"/>
      <c r="AS164" s="5" t="n"/>
      <c r="AT164" s="6" t="n"/>
      <c r="AU164" s="67" t="n"/>
      <c r="AV164" s="6" t="n"/>
      <c r="AW164" s="67" t="n"/>
      <c r="AX164" s="6" t="n"/>
      <c r="AY164" s="67" t="n"/>
      <c r="AZ164" s="6" t="n"/>
      <c r="BA164" s="67" t="n"/>
      <c r="BB164" s="5" t="n"/>
      <c r="BC164" s="6" t="n"/>
      <c r="BD164" s="67" t="n"/>
      <c r="BE164" s="6" t="n"/>
      <c r="BF164" s="66" t="n"/>
      <c r="BG164" s="5" t="n"/>
      <c r="BH164" s="6" t="n"/>
      <c r="BI164" s="68" t="n"/>
      <c r="BJ164" s="5" t="n"/>
      <c r="BK164" s="42" t="n"/>
    </row>
    <row r="165" ht="20" customHeight="1">
      <c r="A165" s="61" t="n"/>
      <c r="B165" s="6" t="n"/>
      <c r="C165" s="62" t="n"/>
      <c r="D165" s="5" t="n"/>
      <c r="E165" s="5" t="n"/>
      <c r="F165" s="6" t="n"/>
      <c r="G165" s="62" t="n"/>
      <c r="H165" s="5" t="n"/>
      <c r="I165" s="6" t="n"/>
      <c r="J165" s="62" t="n"/>
      <c r="K165" s="5" t="n"/>
      <c r="L165" s="6" t="n"/>
      <c r="M165" s="62" t="n"/>
      <c r="N165" s="5" t="n"/>
      <c r="O165" s="5" t="n"/>
      <c r="P165" s="5" t="n"/>
      <c r="Q165" s="6" t="n"/>
      <c r="R165" s="62" t="n"/>
      <c r="S165" s="5" t="n"/>
      <c r="T165" s="5" t="n"/>
      <c r="U165" s="5" t="n"/>
      <c r="V165" s="5" t="n"/>
      <c r="W165" s="5" t="n"/>
      <c r="X165" s="6" t="n"/>
      <c r="Y165" s="62" t="n"/>
      <c r="Z165" s="5" t="n"/>
      <c r="AA165" s="5" t="n"/>
      <c r="AB165" s="5" t="n"/>
      <c r="AC165" s="5" t="n"/>
      <c r="AD165" s="6" t="n"/>
      <c r="AE165" s="63" t="n"/>
      <c r="AF165" s="6" t="n"/>
      <c r="AG165" s="63" t="n"/>
      <c r="AH165" s="6" t="n"/>
      <c r="AI165" s="63" t="n"/>
      <c r="AJ165" s="6" t="n"/>
      <c r="AK165" s="63" t="n"/>
      <c r="AL165" s="6" t="n"/>
      <c r="AM165" s="63" t="n"/>
      <c r="AN165" s="5" t="n"/>
      <c r="AO165" s="6" t="n"/>
      <c r="AP165" s="63" t="n"/>
      <c r="AQ165" s="6" t="n"/>
      <c r="AR165" s="62" t="n"/>
      <c r="AS165" s="5" t="n"/>
      <c r="AT165" s="6" t="n"/>
      <c r="AU165" s="63" t="n"/>
      <c r="AV165" s="6" t="n"/>
      <c r="AW165" s="63" t="n"/>
      <c r="AX165" s="6" t="n"/>
      <c r="AY165" s="63" t="n"/>
      <c r="AZ165" s="6" t="n"/>
      <c r="BA165" s="63" t="n"/>
      <c r="BB165" s="5" t="n"/>
      <c r="BC165" s="6" t="n"/>
      <c r="BD165" s="63" t="n"/>
      <c r="BE165" s="6" t="n"/>
      <c r="BF165" s="62" t="n"/>
      <c r="BG165" s="5" t="n"/>
      <c r="BH165" s="6" t="n"/>
      <c r="BI165" s="64" t="n"/>
      <c r="BJ165" s="5" t="n"/>
      <c r="BK165" s="42" t="n"/>
    </row>
    <row r="166" ht="20" customHeight="1">
      <c r="A166" s="65" t="n"/>
      <c r="B166" s="6" t="n"/>
      <c r="C166" s="66" t="n"/>
      <c r="D166" s="5" t="n"/>
      <c r="E166" s="5" t="n"/>
      <c r="F166" s="6" t="n"/>
      <c r="G166" s="66" t="n"/>
      <c r="H166" s="5" t="n"/>
      <c r="I166" s="6" t="n"/>
      <c r="J166" s="66" t="n"/>
      <c r="K166" s="5" t="n"/>
      <c r="L166" s="6" t="n"/>
      <c r="M166" s="66" t="n"/>
      <c r="N166" s="5" t="n"/>
      <c r="O166" s="5" t="n"/>
      <c r="P166" s="5" t="n"/>
      <c r="Q166" s="6" t="n"/>
      <c r="R166" s="66" t="n"/>
      <c r="S166" s="5" t="n"/>
      <c r="T166" s="5" t="n"/>
      <c r="U166" s="5" t="n"/>
      <c r="V166" s="5" t="n"/>
      <c r="W166" s="5" t="n"/>
      <c r="X166" s="6" t="n"/>
      <c r="Y166" s="66" t="n"/>
      <c r="Z166" s="5" t="n"/>
      <c r="AA166" s="5" t="n"/>
      <c r="AB166" s="5" t="n"/>
      <c r="AC166" s="5" t="n"/>
      <c r="AD166" s="6" t="n"/>
      <c r="AE166" s="67" t="n"/>
      <c r="AF166" s="6" t="n"/>
      <c r="AG166" s="67" t="n"/>
      <c r="AH166" s="6" t="n"/>
      <c r="AI166" s="67" t="n"/>
      <c r="AJ166" s="6" t="n"/>
      <c r="AK166" s="67" t="n"/>
      <c r="AL166" s="6" t="n"/>
      <c r="AM166" s="67" t="n"/>
      <c r="AN166" s="5" t="n"/>
      <c r="AO166" s="6" t="n"/>
      <c r="AP166" s="67" t="n"/>
      <c r="AQ166" s="6" t="n"/>
      <c r="AR166" s="66" t="n"/>
      <c r="AS166" s="5" t="n"/>
      <c r="AT166" s="6" t="n"/>
      <c r="AU166" s="67" t="n"/>
      <c r="AV166" s="6" t="n"/>
      <c r="AW166" s="67" t="n"/>
      <c r="AX166" s="6" t="n"/>
      <c r="AY166" s="67" t="n"/>
      <c r="AZ166" s="6" t="n"/>
      <c r="BA166" s="67" t="n"/>
      <c r="BB166" s="5" t="n"/>
      <c r="BC166" s="6" t="n"/>
      <c r="BD166" s="67" t="n"/>
      <c r="BE166" s="6" t="n"/>
      <c r="BF166" s="66" t="n"/>
      <c r="BG166" s="5" t="n"/>
      <c r="BH166" s="6" t="n"/>
      <c r="BI166" s="68" t="n"/>
      <c r="BJ166" s="5" t="n"/>
      <c r="BK166" s="42" t="n"/>
    </row>
    <row r="167" ht="20" customHeight="1">
      <c r="A167" s="61" t="n"/>
      <c r="B167" s="6" t="n"/>
      <c r="C167" s="62" t="n"/>
      <c r="D167" s="5" t="n"/>
      <c r="E167" s="5" t="n"/>
      <c r="F167" s="6" t="n"/>
      <c r="G167" s="62" t="n"/>
      <c r="H167" s="5" t="n"/>
      <c r="I167" s="6" t="n"/>
      <c r="J167" s="62" t="n"/>
      <c r="K167" s="5" t="n"/>
      <c r="L167" s="6" t="n"/>
      <c r="M167" s="62" t="n"/>
      <c r="N167" s="5" t="n"/>
      <c r="O167" s="5" t="n"/>
      <c r="P167" s="5" t="n"/>
      <c r="Q167" s="6" t="n"/>
      <c r="R167" s="62" t="n"/>
      <c r="S167" s="5" t="n"/>
      <c r="T167" s="5" t="n"/>
      <c r="U167" s="5" t="n"/>
      <c r="V167" s="5" t="n"/>
      <c r="W167" s="5" t="n"/>
      <c r="X167" s="6" t="n"/>
      <c r="Y167" s="62" t="n"/>
      <c r="Z167" s="5" t="n"/>
      <c r="AA167" s="5" t="n"/>
      <c r="AB167" s="5" t="n"/>
      <c r="AC167" s="5" t="n"/>
      <c r="AD167" s="6" t="n"/>
      <c r="AE167" s="63" t="n"/>
      <c r="AF167" s="6" t="n"/>
      <c r="AG167" s="63" t="n"/>
      <c r="AH167" s="6" t="n"/>
      <c r="AI167" s="63" t="n"/>
      <c r="AJ167" s="6" t="n"/>
      <c r="AK167" s="63" t="n"/>
      <c r="AL167" s="6" t="n"/>
      <c r="AM167" s="63" t="n"/>
      <c r="AN167" s="5" t="n"/>
      <c r="AO167" s="6" t="n"/>
      <c r="AP167" s="63" t="n"/>
      <c r="AQ167" s="6" t="n"/>
      <c r="AR167" s="62" t="n"/>
      <c r="AS167" s="5" t="n"/>
      <c r="AT167" s="6" t="n"/>
      <c r="AU167" s="63" t="n"/>
      <c r="AV167" s="6" t="n"/>
      <c r="AW167" s="63" t="n"/>
      <c r="AX167" s="6" t="n"/>
      <c r="AY167" s="63" t="n"/>
      <c r="AZ167" s="6" t="n"/>
      <c r="BA167" s="63" t="n"/>
      <c r="BB167" s="5" t="n"/>
      <c r="BC167" s="6" t="n"/>
      <c r="BD167" s="63" t="n"/>
      <c r="BE167" s="6" t="n"/>
      <c r="BF167" s="62" t="n"/>
      <c r="BG167" s="5" t="n"/>
      <c r="BH167" s="6" t="n"/>
      <c r="BI167" s="64" t="n"/>
      <c r="BJ167" s="5" t="n"/>
      <c r="BK167" s="42" t="n"/>
    </row>
    <row r="168" ht="20" customHeight="1">
      <c r="A168" s="65" t="n"/>
      <c r="B168" s="6" t="n"/>
      <c r="C168" s="66" t="n"/>
      <c r="D168" s="5" t="n"/>
      <c r="E168" s="5" t="n"/>
      <c r="F168" s="6" t="n"/>
      <c r="G168" s="66" t="n"/>
      <c r="H168" s="5" t="n"/>
      <c r="I168" s="6" t="n"/>
      <c r="J168" s="66" t="n"/>
      <c r="K168" s="5" t="n"/>
      <c r="L168" s="6" t="n"/>
      <c r="M168" s="66" t="n"/>
      <c r="N168" s="5" t="n"/>
      <c r="O168" s="5" t="n"/>
      <c r="P168" s="5" t="n"/>
      <c r="Q168" s="6" t="n"/>
      <c r="R168" s="66" t="n"/>
      <c r="S168" s="5" t="n"/>
      <c r="T168" s="5" t="n"/>
      <c r="U168" s="5" t="n"/>
      <c r="V168" s="5" t="n"/>
      <c r="W168" s="5" t="n"/>
      <c r="X168" s="6" t="n"/>
      <c r="Y168" s="66" t="n"/>
      <c r="Z168" s="5" t="n"/>
      <c r="AA168" s="5" t="n"/>
      <c r="AB168" s="5" t="n"/>
      <c r="AC168" s="5" t="n"/>
      <c r="AD168" s="6" t="n"/>
      <c r="AE168" s="67" t="n"/>
      <c r="AF168" s="6" t="n"/>
      <c r="AG168" s="67" t="n"/>
      <c r="AH168" s="6" t="n"/>
      <c r="AI168" s="67" t="n"/>
      <c r="AJ168" s="6" t="n"/>
      <c r="AK168" s="67" t="n"/>
      <c r="AL168" s="6" t="n"/>
      <c r="AM168" s="67" t="n"/>
      <c r="AN168" s="5" t="n"/>
      <c r="AO168" s="6" t="n"/>
      <c r="AP168" s="67" t="n"/>
      <c r="AQ168" s="6" t="n"/>
      <c r="AR168" s="66" t="n"/>
      <c r="AS168" s="5" t="n"/>
      <c r="AT168" s="6" t="n"/>
      <c r="AU168" s="67" t="n"/>
      <c r="AV168" s="6" t="n"/>
      <c r="AW168" s="67" t="n"/>
      <c r="AX168" s="6" t="n"/>
      <c r="AY168" s="67" t="n"/>
      <c r="AZ168" s="6" t="n"/>
      <c r="BA168" s="67" t="n"/>
      <c r="BB168" s="5" t="n"/>
      <c r="BC168" s="6" t="n"/>
      <c r="BD168" s="67" t="n"/>
      <c r="BE168" s="6" t="n"/>
      <c r="BF168" s="66" t="n"/>
      <c r="BG168" s="5" t="n"/>
      <c r="BH168" s="6" t="n"/>
      <c r="BI168" s="68" t="n"/>
      <c r="BJ168" s="5" t="n"/>
      <c r="BK168" s="42" t="n"/>
    </row>
    <row r="169" ht="20" customHeight="1">
      <c r="A169" s="61" t="n"/>
      <c r="B169" s="6" t="n"/>
      <c r="C169" s="62" t="n"/>
      <c r="D169" s="5" t="n"/>
      <c r="E169" s="5" t="n"/>
      <c r="F169" s="6" t="n"/>
      <c r="G169" s="62" t="n"/>
      <c r="H169" s="5" t="n"/>
      <c r="I169" s="6" t="n"/>
      <c r="J169" s="62" t="n"/>
      <c r="K169" s="5" t="n"/>
      <c r="L169" s="6" t="n"/>
      <c r="M169" s="62" t="n"/>
      <c r="N169" s="5" t="n"/>
      <c r="O169" s="5" t="n"/>
      <c r="P169" s="5" t="n"/>
      <c r="Q169" s="6" t="n"/>
      <c r="R169" s="62" t="n"/>
      <c r="S169" s="5" t="n"/>
      <c r="T169" s="5" t="n"/>
      <c r="U169" s="5" t="n"/>
      <c r="V169" s="5" t="n"/>
      <c r="W169" s="5" t="n"/>
      <c r="X169" s="6" t="n"/>
      <c r="Y169" s="62" t="n"/>
      <c r="Z169" s="5" t="n"/>
      <c r="AA169" s="5" t="n"/>
      <c r="AB169" s="5" t="n"/>
      <c r="AC169" s="5" t="n"/>
      <c r="AD169" s="6" t="n"/>
      <c r="AE169" s="63" t="n"/>
      <c r="AF169" s="6" t="n"/>
      <c r="AG169" s="63" t="n"/>
      <c r="AH169" s="6" t="n"/>
      <c r="AI169" s="63" t="n"/>
      <c r="AJ169" s="6" t="n"/>
      <c r="AK169" s="63" t="n"/>
      <c r="AL169" s="6" t="n"/>
      <c r="AM169" s="63" t="n"/>
      <c r="AN169" s="5" t="n"/>
      <c r="AO169" s="6" t="n"/>
      <c r="AP169" s="63" t="n"/>
      <c r="AQ169" s="6" t="n"/>
      <c r="AR169" s="62" t="n"/>
      <c r="AS169" s="5" t="n"/>
      <c r="AT169" s="6" t="n"/>
      <c r="AU169" s="63" t="n"/>
      <c r="AV169" s="6" t="n"/>
      <c r="AW169" s="63" t="n"/>
      <c r="AX169" s="6" t="n"/>
      <c r="AY169" s="63" t="n"/>
      <c r="AZ169" s="6" t="n"/>
      <c r="BA169" s="63" t="n"/>
      <c r="BB169" s="5" t="n"/>
      <c r="BC169" s="6" t="n"/>
      <c r="BD169" s="63" t="n"/>
      <c r="BE169" s="6" t="n"/>
      <c r="BF169" s="62" t="n"/>
      <c r="BG169" s="5" t="n"/>
      <c r="BH169" s="6" t="n"/>
      <c r="BI169" s="64" t="n"/>
      <c r="BJ169" s="5" t="n"/>
      <c r="BK169" s="42" t="n"/>
    </row>
    <row r="170" ht="20" customHeight="1">
      <c r="A170" s="65" t="n"/>
      <c r="B170" s="6" t="n"/>
      <c r="C170" s="66" t="n"/>
      <c r="D170" s="5" t="n"/>
      <c r="E170" s="5" t="n"/>
      <c r="F170" s="6" t="n"/>
      <c r="G170" s="66" t="n"/>
      <c r="H170" s="5" t="n"/>
      <c r="I170" s="6" t="n"/>
      <c r="J170" s="66" t="n"/>
      <c r="K170" s="5" t="n"/>
      <c r="L170" s="6" t="n"/>
      <c r="M170" s="66" t="n"/>
      <c r="N170" s="5" t="n"/>
      <c r="O170" s="5" t="n"/>
      <c r="P170" s="5" t="n"/>
      <c r="Q170" s="6" t="n"/>
      <c r="R170" s="66" t="n"/>
      <c r="S170" s="5" t="n"/>
      <c r="T170" s="5" t="n"/>
      <c r="U170" s="5" t="n"/>
      <c r="V170" s="5" t="n"/>
      <c r="W170" s="5" t="n"/>
      <c r="X170" s="6" t="n"/>
      <c r="Y170" s="66" t="n"/>
      <c r="Z170" s="5" t="n"/>
      <c r="AA170" s="5" t="n"/>
      <c r="AB170" s="5" t="n"/>
      <c r="AC170" s="5" t="n"/>
      <c r="AD170" s="6" t="n"/>
      <c r="AE170" s="67" t="n"/>
      <c r="AF170" s="6" t="n"/>
      <c r="AG170" s="67" t="n"/>
      <c r="AH170" s="6" t="n"/>
      <c r="AI170" s="67" t="n"/>
      <c r="AJ170" s="6" t="n"/>
      <c r="AK170" s="67" t="n"/>
      <c r="AL170" s="6" t="n"/>
      <c r="AM170" s="67" t="n"/>
      <c r="AN170" s="5" t="n"/>
      <c r="AO170" s="6" t="n"/>
      <c r="AP170" s="67" t="n"/>
      <c r="AQ170" s="6" t="n"/>
      <c r="AR170" s="66" t="n"/>
      <c r="AS170" s="5" t="n"/>
      <c r="AT170" s="6" t="n"/>
      <c r="AU170" s="67" t="n"/>
      <c r="AV170" s="6" t="n"/>
      <c r="AW170" s="67" t="n"/>
      <c r="AX170" s="6" t="n"/>
      <c r="AY170" s="67" t="n"/>
      <c r="AZ170" s="6" t="n"/>
      <c r="BA170" s="67" t="n"/>
      <c r="BB170" s="5" t="n"/>
      <c r="BC170" s="6" t="n"/>
      <c r="BD170" s="67" t="n"/>
      <c r="BE170" s="6" t="n"/>
      <c r="BF170" s="66" t="n"/>
      <c r="BG170" s="5" t="n"/>
      <c r="BH170" s="6" t="n"/>
      <c r="BI170" s="68" t="n"/>
      <c r="BJ170" s="5" t="n"/>
      <c r="BK170" s="42" t="n"/>
    </row>
    <row r="171" ht="20" customHeight="1">
      <c r="A171" s="61" t="n"/>
      <c r="B171" s="6" t="n"/>
      <c r="C171" s="62" t="n"/>
      <c r="D171" s="5" t="n"/>
      <c r="E171" s="5" t="n"/>
      <c r="F171" s="6" t="n"/>
      <c r="G171" s="62" t="n"/>
      <c r="H171" s="5" t="n"/>
      <c r="I171" s="6" t="n"/>
      <c r="J171" s="62" t="n"/>
      <c r="K171" s="5" t="n"/>
      <c r="L171" s="6" t="n"/>
      <c r="M171" s="62" t="n"/>
      <c r="N171" s="5" t="n"/>
      <c r="O171" s="5" t="n"/>
      <c r="P171" s="5" t="n"/>
      <c r="Q171" s="6" t="n"/>
      <c r="R171" s="62" t="n"/>
      <c r="S171" s="5" t="n"/>
      <c r="T171" s="5" t="n"/>
      <c r="U171" s="5" t="n"/>
      <c r="V171" s="5" t="n"/>
      <c r="W171" s="5" t="n"/>
      <c r="X171" s="6" t="n"/>
      <c r="Y171" s="62" t="n"/>
      <c r="Z171" s="5" t="n"/>
      <c r="AA171" s="5" t="n"/>
      <c r="AB171" s="5" t="n"/>
      <c r="AC171" s="5" t="n"/>
      <c r="AD171" s="6" t="n"/>
      <c r="AE171" s="63" t="n"/>
      <c r="AF171" s="6" t="n"/>
      <c r="AG171" s="63" t="n"/>
      <c r="AH171" s="6" t="n"/>
      <c r="AI171" s="63" t="n"/>
      <c r="AJ171" s="6" t="n"/>
      <c r="AK171" s="63" t="n"/>
      <c r="AL171" s="6" t="n"/>
      <c r="AM171" s="63" t="n"/>
      <c r="AN171" s="5" t="n"/>
      <c r="AO171" s="6" t="n"/>
      <c r="AP171" s="63" t="n"/>
      <c r="AQ171" s="6" t="n"/>
      <c r="AR171" s="62" t="n"/>
      <c r="AS171" s="5" t="n"/>
      <c r="AT171" s="6" t="n"/>
      <c r="AU171" s="63" t="n"/>
      <c r="AV171" s="6" t="n"/>
      <c r="AW171" s="63" t="n"/>
      <c r="AX171" s="6" t="n"/>
      <c r="AY171" s="63" t="n"/>
      <c r="AZ171" s="6" t="n"/>
      <c r="BA171" s="63" t="n"/>
      <c r="BB171" s="5" t="n"/>
      <c r="BC171" s="6" t="n"/>
      <c r="BD171" s="63" t="n"/>
      <c r="BE171" s="6" t="n"/>
      <c r="BF171" s="62" t="n"/>
      <c r="BG171" s="5" t="n"/>
      <c r="BH171" s="6" t="n"/>
      <c r="BI171" s="64" t="n"/>
      <c r="BJ171" s="5" t="n"/>
      <c r="BK171" s="42" t="n"/>
    </row>
    <row r="172" ht="20" customHeight="1">
      <c r="A172" s="65" t="n"/>
      <c r="B172" s="6" t="n"/>
      <c r="C172" s="66" t="n"/>
      <c r="D172" s="5" t="n"/>
      <c r="E172" s="5" t="n"/>
      <c r="F172" s="6" t="n"/>
      <c r="G172" s="66" t="n"/>
      <c r="H172" s="5" t="n"/>
      <c r="I172" s="6" t="n"/>
      <c r="J172" s="66" t="n"/>
      <c r="K172" s="5" t="n"/>
      <c r="L172" s="6" t="n"/>
      <c r="M172" s="66" t="n"/>
      <c r="N172" s="5" t="n"/>
      <c r="O172" s="5" t="n"/>
      <c r="P172" s="5" t="n"/>
      <c r="Q172" s="6" t="n"/>
      <c r="R172" s="66" t="n"/>
      <c r="S172" s="5" t="n"/>
      <c r="T172" s="5" t="n"/>
      <c r="U172" s="5" t="n"/>
      <c r="V172" s="5" t="n"/>
      <c r="W172" s="5" t="n"/>
      <c r="X172" s="6" t="n"/>
      <c r="Y172" s="66" t="n"/>
      <c r="Z172" s="5" t="n"/>
      <c r="AA172" s="5" t="n"/>
      <c r="AB172" s="5" t="n"/>
      <c r="AC172" s="5" t="n"/>
      <c r="AD172" s="6" t="n"/>
      <c r="AE172" s="67" t="n"/>
      <c r="AF172" s="6" t="n"/>
      <c r="AG172" s="67" t="n"/>
      <c r="AH172" s="6" t="n"/>
      <c r="AI172" s="67" t="n"/>
      <c r="AJ172" s="6" t="n"/>
      <c r="AK172" s="67" t="n"/>
      <c r="AL172" s="6" t="n"/>
      <c r="AM172" s="67" t="n"/>
      <c r="AN172" s="5" t="n"/>
      <c r="AO172" s="6" t="n"/>
      <c r="AP172" s="67" t="n"/>
      <c r="AQ172" s="6" t="n"/>
      <c r="AR172" s="66" t="n"/>
      <c r="AS172" s="5" t="n"/>
      <c r="AT172" s="6" t="n"/>
      <c r="AU172" s="67" t="n"/>
      <c r="AV172" s="6" t="n"/>
      <c r="AW172" s="67" t="n"/>
      <c r="AX172" s="6" t="n"/>
      <c r="AY172" s="67" t="n"/>
      <c r="AZ172" s="6" t="n"/>
      <c r="BA172" s="67" t="n"/>
      <c r="BB172" s="5" t="n"/>
      <c r="BC172" s="6" t="n"/>
      <c r="BD172" s="67" t="n"/>
      <c r="BE172" s="6" t="n"/>
      <c r="BF172" s="66" t="n"/>
      <c r="BG172" s="5" t="n"/>
      <c r="BH172" s="6" t="n"/>
      <c r="BI172" s="68" t="n"/>
      <c r="BJ172" s="5" t="n"/>
      <c r="BK172" s="42" t="n"/>
    </row>
    <row r="173" ht="20" customHeight="1">
      <c r="A173" s="61" t="n"/>
      <c r="B173" s="6" t="n"/>
      <c r="C173" s="62" t="n"/>
      <c r="D173" s="5" t="n"/>
      <c r="E173" s="5" t="n"/>
      <c r="F173" s="6" t="n"/>
      <c r="G173" s="62" t="n"/>
      <c r="H173" s="5" t="n"/>
      <c r="I173" s="6" t="n"/>
      <c r="J173" s="62" t="n"/>
      <c r="K173" s="5" t="n"/>
      <c r="L173" s="6" t="n"/>
      <c r="M173" s="62" t="n"/>
      <c r="N173" s="5" t="n"/>
      <c r="O173" s="5" t="n"/>
      <c r="P173" s="5" t="n"/>
      <c r="Q173" s="6" t="n"/>
      <c r="R173" s="62" t="n"/>
      <c r="S173" s="5" t="n"/>
      <c r="T173" s="5" t="n"/>
      <c r="U173" s="5" t="n"/>
      <c r="V173" s="5" t="n"/>
      <c r="W173" s="5" t="n"/>
      <c r="X173" s="6" t="n"/>
      <c r="Y173" s="62" t="n"/>
      <c r="Z173" s="5" t="n"/>
      <c r="AA173" s="5" t="n"/>
      <c r="AB173" s="5" t="n"/>
      <c r="AC173" s="5" t="n"/>
      <c r="AD173" s="6" t="n"/>
      <c r="AE173" s="63" t="n"/>
      <c r="AF173" s="6" t="n"/>
      <c r="AG173" s="63" t="n"/>
      <c r="AH173" s="6" t="n"/>
      <c r="AI173" s="63" t="n"/>
      <c r="AJ173" s="6" t="n"/>
      <c r="AK173" s="63" t="n"/>
      <c r="AL173" s="6" t="n"/>
      <c r="AM173" s="63" t="n"/>
      <c r="AN173" s="5" t="n"/>
      <c r="AO173" s="6" t="n"/>
      <c r="AP173" s="63" t="n"/>
      <c r="AQ173" s="6" t="n"/>
      <c r="AR173" s="62" t="n"/>
      <c r="AS173" s="5" t="n"/>
      <c r="AT173" s="6" t="n"/>
      <c r="AU173" s="63" t="n"/>
      <c r="AV173" s="6" t="n"/>
      <c r="AW173" s="63" t="n"/>
      <c r="AX173" s="6" t="n"/>
      <c r="AY173" s="63" t="n"/>
      <c r="AZ173" s="6" t="n"/>
      <c r="BA173" s="63" t="n"/>
      <c r="BB173" s="5" t="n"/>
      <c r="BC173" s="6" t="n"/>
      <c r="BD173" s="63" t="n"/>
      <c r="BE173" s="6" t="n"/>
      <c r="BF173" s="62" t="n"/>
      <c r="BG173" s="5" t="n"/>
      <c r="BH173" s="6" t="n"/>
      <c r="BI173" s="64" t="n"/>
      <c r="BJ173" s="5" t="n"/>
      <c r="BK173" s="42" t="n"/>
    </row>
    <row r="174" ht="20" customHeight="1">
      <c r="A174" s="65" t="n"/>
      <c r="B174" s="6" t="n"/>
      <c r="C174" s="66" t="n"/>
      <c r="D174" s="5" t="n"/>
      <c r="E174" s="5" t="n"/>
      <c r="F174" s="6" t="n"/>
      <c r="G174" s="66" t="n"/>
      <c r="H174" s="5" t="n"/>
      <c r="I174" s="6" t="n"/>
      <c r="J174" s="66" t="n"/>
      <c r="K174" s="5" t="n"/>
      <c r="L174" s="6" t="n"/>
      <c r="M174" s="66" t="n"/>
      <c r="N174" s="5" t="n"/>
      <c r="O174" s="5" t="n"/>
      <c r="P174" s="5" t="n"/>
      <c r="Q174" s="6" t="n"/>
      <c r="R174" s="66" t="n"/>
      <c r="S174" s="5" t="n"/>
      <c r="T174" s="5" t="n"/>
      <c r="U174" s="5" t="n"/>
      <c r="V174" s="5" t="n"/>
      <c r="W174" s="5" t="n"/>
      <c r="X174" s="6" t="n"/>
      <c r="Y174" s="66" t="n"/>
      <c r="Z174" s="5" t="n"/>
      <c r="AA174" s="5" t="n"/>
      <c r="AB174" s="5" t="n"/>
      <c r="AC174" s="5" t="n"/>
      <c r="AD174" s="6" t="n"/>
      <c r="AE174" s="67" t="n"/>
      <c r="AF174" s="6" t="n"/>
      <c r="AG174" s="67" t="n"/>
      <c r="AH174" s="6" t="n"/>
      <c r="AI174" s="67" t="n"/>
      <c r="AJ174" s="6" t="n"/>
      <c r="AK174" s="67" t="n"/>
      <c r="AL174" s="6" t="n"/>
      <c r="AM174" s="67" t="n"/>
      <c r="AN174" s="5" t="n"/>
      <c r="AO174" s="6" t="n"/>
      <c r="AP174" s="67" t="n"/>
      <c r="AQ174" s="6" t="n"/>
      <c r="AR174" s="66" t="n"/>
      <c r="AS174" s="5" t="n"/>
      <c r="AT174" s="6" t="n"/>
      <c r="AU174" s="67" t="n"/>
      <c r="AV174" s="6" t="n"/>
      <c r="AW174" s="67" t="n"/>
      <c r="AX174" s="6" t="n"/>
      <c r="AY174" s="67" t="n"/>
      <c r="AZ174" s="6" t="n"/>
      <c r="BA174" s="67" t="n"/>
      <c r="BB174" s="5" t="n"/>
      <c r="BC174" s="6" t="n"/>
      <c r="BD174" s="67" t="n"/>
      <c r="BE174" s="6" t="n"/>
      <c r="BF174" s="66" t="n"/>
      <c r="BG174" s="5" t="n"/>
      <c r="BH174" s="6" t="n"/>
      <c r="BI174" s="68" t="n"/>
      <c r="BJ174" s="5" t="n"/>
      <c r="BK174" s="42" t="n"/>
    </row>
    <row r="175" ht="20" customHeight="1">
      <c r="A175" s="61" t="n"/>
      <c r="B175" s="6" t="n"/>
      <c r="C175" s="62" t="n"/>
      <c r="D175" s="5" t="n"/>
      <c r="E175" s="5" t="n"/>
      <c r="F175" s="6" t="n"/>
      <c r="G175" s="62" t="n"/>
      <c r="H175" s="5" t="n"/>
      <c r="I175" s="6" t="n"/>
      <c r="J175" s="62" t="n"/>
      <c r="K175" s="5" t="n"/>
      <c r="L175" s="6" t="n"/>
      <c r="M175" s="62" t="n"/>
      <c r="N175" s="5" t="n"/>
      <c r="O175" s="5" t="n"/>
      <c r="P175" s="5" t="n"/>
      <c r="Q175" s="6" t="n"/>
      <c r="R175" s="62" t="n"/>
      <c r="S175" s="5" t="n"/>
      <c r="T175" s="5" t="n"/>
      <c r="U175" s="5" t="n"/>
      <c r="V175" s="5" t="n"/>
      <c r="W175" s="5" t="n"/>
      <c r="X175" s="6" t="n"/>
      <c r="Y175" s="62" t="n"/>
      <c r="Z175" s="5" t="n"/>
      <c r="AA175" s="5" t="n"/>
      <c r="AB175" s="5" t="n"/>
      <c r="AC175" s="5" t="n"/>
      <c r="AD175" s="6" t="n"/>
      <c r="AE175" s="63" t="n"/>
      <c r="AF175" s="6" t="n"/>
      <c r="AG175" s="63" t="n"/>
      <c r="AH175" s="6" t="n"/>
      <c r="AI175" s="63" t="n"/>
      <c r="AJ175" s="6" t="n"/>
      <c r="AK175" s="63" t="n"/>
      <c r="AL175" s="6" t="n"/>
      <c r="AM175" s="63" t="n"/>
      <c r="AN175" s="5" t="n"/>
      <c r="AO175" s="6" t="n"/>
      <c r="AP175" s="63" t="n"/>
      <c r="AQ175" s="6" t="n"/>
      <c r="AR175" s="62" t="n"/>
      <c r="AS175" s="5" t="n"/>
      <c r="AT175" s="6" t="n"/>
      <c r="AU175" s="63" t="n"/>
      <c r="AV175" s="6" t="n"/>
      <c r="AW175" s="63" t="n"/>
      <c r="AX175" s="6" t="n"/>
      <c r="AY175" s="63" t="n"/>
      <c r="AZ175" s="6" t="n"/>
      <c r="BA175" s="63" t="n"/>
      <c r="BB175" s="5" t="n"/>
      <c r="BC175" s="6" t="n"/>
      <c r="BD175" s="63" t="n"/>
      <c r="BE175" s="6" t="n"/>
      <c r="BF175" s="62" t="n"/>
      <c r="BG175" s="5" t="n"/>
      <c r="BH175" s="6" t="n"/>
      <c r="BI175" s="64" t="n"/>
      <c r="BJ175" s="5" t="n"/>
      <c r="BK175" s="42" t="n"/>
    </row>
    <row r="176" ht="20" customHeight="1">
      <c r="A176" s="65" t="n"/>
      <c r="B176" s="6" t="n"/>
      <c r="C176" s="66" t="n"/>
      <c r="D176" s="5" t="n"/>
      <c r="E176" s="5" t="n"/>
      <c r="F176" s="6" t="n"/>
      <c r="G176" s="66" t="n"/>
      <c r="H176" s="5" t="n"/>
      <c r="I176" s="6" t="n"/>
      <c r="J176" s="66" t="n"/>
      <c r="K176" s="5" t="n"/>
      <c r="L176" s="6" t="n"/>
      <c r="M176" s="66" t="n"/>
      <c r="N176" s="5" t="n"/>
      <c r="O176" s="5" t="n"/>
      <c r="P176" s="5" t="n"/>
      <c r="Q176" s="6" t="n"/>
      <c r="R176" s="66" t="n"/>
      <c r="S176" s="5" t="n"/>
      <c r="T176" s="5" t="n"/>
      <c r="U176" s="5" t="n"/>
      <c r="V176" s="5" t="n"/>
      <c r="W176" s="5" t="n"/>
      <c r="X176" s="6" t="n"/>
      <c r="Y176" s="66" t="n"/>
      <c r="Z176" s="5" t="n"/>
      <c r="AA176" s="5" t="n"/>
      <c r="AB176" s="5" t="n"/>
      <c r="AC176" s="5" t="n"/>
      <c r="AD176" s="6" t="n"/>
      <c r="AE176" s="67" t="n"/>
      <c r="AF176" s="6" t="n"/>
      <c r="AG176" s="67" t="n"/>
      <c r="AH176" s="6" t="n"/>
      <c r="AI176" s="67" t="n"/>
      <c r="AJ176" s="6" t="n"/>
      <c r="AK176" s="67" t="n"/>
      <c r="AL176" s="6" t="n"/>
      <c r="AM176" s="67" t="n"/>
      <c r="AN176" s="5" t="n"/>
      <c r="AO176" s="6" t="n"/>
      <c r="AP176" s="67" t="n"/>
      <c r="AQ176" s="6" t="n"/>
      <c r="AR176" s="66" t="n"/>
      <c r="AS176" s="5" t="n"/>
      <c r="AT176" s="6" t="n"/>
      <c r="AU176" s="67" t="n"/>
      <c r="AV176" s="6" t="n"/>
      <c r="AW176" s="67" t="n"/>
      <c r="AX176" s="6" t="n"/>
      <c r="AY176" s="67" t="n"/>
      <c r="AZ176" s="6" t="n"/>
      <c r="BA176" s="67" t="n"/>
      <c r="BB176" s="5" t="n"/>
      <c r="BC176" s="6" t="n"/>
      <c r="BD176" s="67" t="n"/>
      <c r="BE176" s="6" t="n"/>
      <c r="BF176" s="66" t="n"/>
      <c r="BG176" s="5" t="n"/>
      <c r="BH176" s="6" t="n"/>
      <c r="BI176" s="68" t="n"/>
      <c r="BJ176" s="5" t="n"/>
      <c r="BK176" s="42" t="n"/>
    </row>
    <row r="177" ht="20" customHeight="1">
      <c r="A177" s="61" t="n"/>
      <c r="B177" s="6" t="n"/>
      <c r="C177" s="62" t="n"/>
      <c r="D177" s="5" t="n"/>
      <c r="E177" s="5" t="n"/>
      <c r="F177" s="6" t="n"/>
      <c r="G177" s="62" t="n"/>
      <c r="H177" s="5" t="n"/>
      <c r="I177" s="6" t="n"/>
      <c r="J177" s="62" t="n"/>
      <c r="K177" s="5" t="n"/>
      <c r="L177" s="6" t="n"/>
      <c r="M177" s="62" t="n"/>
      <c r="N177" s="5" t="n"/>
      <c r="O177" s="5" t="n"/>
      <c r="P177" s="5" t="n"/>
      <c r="Q177" s="6" t="n"/>
      <c r="R177" s="62" t="n"/>
      <c r="S177" s="5" t="n"/>
      <c r="T177" s="5" t="n"/>
      <c r="U177" s="5" t="n"/>
      <c r="V177" s="5" t="n"/>
      <c r="W177" s="5" t="n"/>
      <c r="X177" s="6" t="n"/>
      <c r="Y177" s="62" t="n"/>
      <c r="Z177" s="5" t="n"/>
      <c r="AA177" s="5" t="n"/>
      <c r="AB177" s="5" t="n"/>
      <c r="AC177" s="5" t="n"/>
      <c r="AD177" s="6" t="n"/>
      <c r="AE177" s="63" t="n"/>
      <c r="AF177" s="6" t="n"/>
      <c r="AG177" s="63" t="n"/>
      <c r="AH177" s="6" t="n"/>
      <c r="AI177" s="63" t="n"/>
      <c r="AJ177" s="6" t="n"/>
      <c r="AK177" s="63" t="n"/>
      <c r="AL177" s="6" t="n"/>
      <c r="AM177" s="63" t="n"/>
      <c r="AN177" s="5" t="n"/>
      <c r="AO177" s="6" t="n"/>
      <c r="AP177" s="63" t="n"/>
      <c r="AQ177" s="6" t="n"/>
      <c r="AR177" s="62" t="n"/>
      <c r="AS177" s="5" t="n"/>
      <c r="AT177" s="6" t="n"/>
      <c r="AU177" s="63" t="n"/>
      <c r="AV177" s="6" t="n"/>
      <c r="AW177" s="63" t="n"/>
      <c r="AX177" s="6" t="n"/>
      <c r="AY177" s="63" t="n"/>
      <c r="AZ177" s="6" t="n"/>
      <c r="BA177" s="63" t="n"/>
      <c r="BB177" s="5" t="n"/>
      <c r="BC177" s="6" t="n"/>
      <c r="BD177" s="63" t="n"/>
      <c r="BE177" s="6" t="n"/>
      <c r="BF177" s="62" t="n"/>
      <c r="BG177" s="5" t="n"/>
      <c r="BH177" s="6" t="n"/>
      <c r="BI177" s="64" t="n"/>
      <c r="BJ177" s="5" t="n"/>
      <c r="BK177" s="42" t="n"/>
    </row>
    <row r="178" ht="20" customHeight="1">
      <c r="A178" s="65" t="n"/>
      <c r="B178" s="6" t="n"/>
      <c r="C178" s="66" t="n"/>
      <c r="D178" s="5" t="n"/>
      <c r="E178" s="5" t="n"/>
      <c r="F178" s="6" t="n"/>
      <c r="G178" s="66" t="n"/>
      <c r="H178" s="5" t="n"/>
      <c r="I178" s="6" t="n"/>
      <c r="J178" s="66" t="n"/>
      <c r="K178" s="5" t="n"/>
      <c r="L178" s="6" t="n"/>
      <c r="M178" s="66" t="n"/>
      <c r="N178" s="5" t="n"/>
      <c r="O178" s="5" t="n"/>
      <c r="P178" s="5" t="n"/>
      <c r="Q178" s="6" t="n"/>
      <c r="R178" s="66" t="n"/>
      <c r="S178" s="5" t="n"/>
      <c r="T178" s="5" t="n"/>
      <c r="U178" s="5" t="n"/>
      <c r="V178" s="5" t="n"/>
      <c r="W178" s="5" t="n"/>
      <c r="X178" s="6" t="n"/>
      <c r="Y178" s="66" t="n"/>
      <c r="Z178" s="5" t="n"/>
      <c r="AA178" s="5" t="n"/>
      <c r="AB178" s="5" t="n"/>
      <c r="AC178" s="5" t="n"/>
      <c r="AD178" s="6" t="n"/>
      <c r="AE178" s="67" t="n"/>
      <c r="AF178" s="6" t="n"/>
      <c r="AG178" s="67" t="n"/>
      <c r="AH178" s="6" t="n"/>
      <c r="AI178" s="67" t="n"/>
      <c r="AJ178" s="6" t="n"/>
      <c r="AK178" s="67" t="n"/>
      <c r="AL178" s="6" t="n"/>
      <c r="AM178" s="67" t="n"/>
      <c r="AN178" s="5" t="n"/>
      <c r="AO178" s="6" t="n"/>
      <c r="AP178" s="67" t="n"/>
      <c r="AQ178" s="6" t="n"/>
      <c r="AR178" s="66" t="n"/>
      <c r="AS178" s="5" t="n"/>
      <c r="AT178" s="6" t="n"/>
      <c r="AU178" s="67" t="n"/>
      <c r="AV178" s="6" t="n"/>
      <c r="AW178" s="67" t="n"/>
      <c r="AX178" s="6" t="n"/>
      <c r="AY178" s="67" t="n"/>
      <c r="AZ178" s="6" t="n"/>
      <c r="BA178" s="67" t="n"/>
      <c r="BB178" s="5" t="n"/>
      <c r="BC178" s="6" t="n"/>
      <c r="BD178" s="67" t="n"/>
      <c r="BE178" s="6" t="n"/>
      <c r="BF178" s="66" t="n"/>
      <c r="BG178" s="5" t="n"/>
      <c r="BH178" s="6" t="n"/>
      <c r="BI178" s="68" t="n"/>
      <c r="BJ178" s="5" t="n"/>
      <c r="BK178" s="42" t="n"/>
    </row>
    <row r="179" ht="20" customHeight="1">
      <c r="A179" s="61" t="n"/>
      <c r="B179" s="6" t="n"/>
      <c r="C179" s="62" t="n"/>
      <c r="D179" s="5" t="n"/>
      <c r="E179" s="5" t="n"/>
      <c r="F179" s="6" t="n"/>
      <c r="G179" s="62" t="n"/>
      <c r="H179" s="5" t="n"/>
      <c r="I179" s="6" t="n"/>
      <c r="J179" s="62" t="n"/>
      <c r="K179" s="5" t="n"/>
      <c r="L179" s="6" t="n"/>
      <c r="M179" s="62" t="n"/>
      <c r="N179" s="5" t="n"/>
      <c r="O179" s="5" t="n"/>
      <c r="P179" s="5" t="n"/>
      <c r="Q179" s="6" t="n"/>
      <c r="R179" s="62" t="n"/>
      <c r="S179" s="5" t="n"/>
      <c r="T179" s="5" t="n"/>
      <c r="U179" s="5" t="n"/>
      <c r="V179" s="5" t="n"/>
      <c r="W179" s="5" t="n"/>
      <c r="X179" s="6" t="n"/>
      <c r="Y179" s="62" t="n"/>
      <c r="Z179" s="5" t="n"/>
      <c r="AA179" s="5" t="n"/>
      <c r="AB179" s="5" t="n"/>
      <c r="AC179" s="5" t="n"/>
      <c r="AD179" s="6" t="n"/>
      <c r="AE179" s="63" t="n"/>
      <c r="AF179" s="6" t="n"/>
      <c r="AG179" s="63" t="n"/>
      <c r="AH179" s="6" t="n"/>
      <c r="AI179" s="63" t="n"/>
      <c r="AJ179" s="6" t="n"/>
      <c r="AK179" s="63" t="n"/>
      <c r="AL179" s="6" t="n"/>
      <c r="AM179" s="63" t="n"/>
      <c r="AN179" s="5" t="n"/>
      <c r="AO179" s="6" t="n"/>
      <c r="AP179" s="63" t="n"/>
      <c r="AQ179" s="6" t="n"/>
      <c r="AR179" s="62" t="n"/>
      <c r="AS179" s="5" t="n"/>
      <c r="AT179" s="6" t="n"/>
      <c r="AU179" s="63" t="n"/>
      <c r="AV179" s="6" t="n"/>
      <c r="AW179" s="63" t="n"/>
      <c r="AX179" s="6" t="n"/>
      <c r="AY179" s="63" t="n"/>
      <c r="AZ179" s="6" t="n"/>
      <c r="BA179" s="63" t="n"/>
      <c r="BB179" s="5" t="n"/>
      <c r="BC179" s="6" t="n"/>
      <c r="BD179" s="63" t="n"/>
      <c r="BE179" s="6" t="n"/>
      <c r="BF179" s="62" t="n"/>
      <c r="BG179" s="5" t="n"/>
      <c r="BH179" s="6" t="n"/>
      <c r="BI179" s="64" t="n"/>
      <c r="BJ179" s="5" t="n"/>
      <c r="BK179" s="42" t="n"/>
    </row>
    <row r="180" ht="20" customHeight="1">
      <c r="A180" s="65" t="n"/>
      <c r="B180" s="6" t="n"/>
      <c r="C180" s="66" t="n"/>
      <c r="D180" s="5" t="n"/>
      <c r="E180" s="5" t="n"/>
      <c r="F180" s="6" t="n"/>
      <c r="G180" s="66" t="n"/>
      <c r="H180" s="5" t="n"/>
      <c r="I180" s="6" t="n"/>
      <c r="J180" s="66" t="n"/>
      <c r="K180" s="5" t="n"/>
      <c r="L180" s="6" t="n"/>
      <c r="M180" s="66" t="n"/>
      <c r="N180" s="5" t="n"/>
      <c r="O180" s="5" t="n"/>
      <c r="P180" s="5" t="n"/>
      <c r="Q180" s="6" t="n"/>
      <c r="R180" s="66" t="n"/>
      <c r="S180" s="5" t="n"/>
      <c r="T180" s="5" t="n"/>
      <c r="U180" s="5" t="n"/>
      <c r="V180" s="5" t="n"/>
      <c r="W180" s="5" t="n"/>
      <c r="X180" s="6" t="n"/>
      <c r="Y180" s="66" t="n"/>
      <c r="Z180" s="5" t="n"/>
      <c r="AA180" s="5" t="n"/>
      <c r="AB180" s="5" t="n"/>
      <c r="AC180" s="5" t="n"/>
      <c r="AD180" s="6" t="n"/>
      <c r="AE180" s="67" t="n"/>
      <c r="AF180" s="6" t="n"/>
      <c r="AG180" s="67" t="n"/>
      <c r="AH180" s="6" t="n"/>
      <c r="AI180" s="67" t="n"/>
      <c r="AJ180" s="6" t="n"/>
      <c r="AK180" s="67" t="n"/>
      <c r="AL180" s="6" t="n"/>
      <c r="AM180" s="67" t="n"/>
      <c r="AN180" s="5" t="n"/>
      <c r="AO180" s="6" t="n"/>
      <c r="AP180" s="67" t="n"/>
      <c r="AQ180" s="6" t="n"/>
      <c r="AR180" s="66" t="n"/>
      <c r="AS180" s="5" t="n"/>
      <c r="AT180" s="6" t="n"/>
      <c r="AU180" s="67" t="n"/>
      <c r="AV180" s="6" t="n"/>
      <c r="AW180" s="67" t="n"/>
      <c r="AX180" s="6" t="n"/>
      <c r="AY180" s="67" t="n"/>
      <c r="AZ180" s="6" t="n"/>
      <c r="BA180" s="67" t="n"/>
      <c r="BB180" s="5" t="n"/>
      <c r="BC180" s="6" t="n"/>
      <c r="BD180" s="67" t="n"/>
      <c r="BE180" s="6" t="n"/>
      <c r="BF180" s="66" t="n"/>
      <c r="BG180" s="5" t="n"/>
      <c r="BH180" s="6" t="n"/>
      <c r="BI180" s="68" t="n"/>
      <c r="BJ180" s="5" t="n"/>
      <c r="BK180" s="42" t="n"/>
    </row>
    <row r="181" ht="20" customHeight="1">
      <c r="A181" s="61" t="n"/>
      <c r="B181" s="6" t="n"/>
      <c r="C181" s="62" t="n"/>
      <c r="D181" s="5" t="n"/>
      <c r="E181" s="5" t="n"/>
      <c r="F181" s="6" t="n"/>
      <c r="G181" s="62" t="n"/>
      <c r="H181" s="5" t="n"/>
      <c r="I181" s="6" t="n"/>
      <c r="J181" s="62" t="n"/>
      <c r="K181" s="5" t="n"/>
      <c r="L181" s="6" t="n"/>
      <c r="M181" s="62" t="n"/>
      <c r="N181" s="5" t="n"/>
      <c r="O181" s="5" t="n"/>
      <c r="P181" s="5" t="n"/>
      <c r="Q181" s="6" t="n"/>
      <c r="R181" s="62" t="n"/>
      <c r="S181" s="5" t="n"/>
      <c r="T181" s="5" t="n"/>
      <c r="U181" s="5" t="n"/>
      <c r="V181" s="5" t="n"/>
      <c r="W181" s="5" t="n"/>
      <c r="X181" s="6" t="n"/>
      <c r="Y181" s="62" t="n"/>
      <c r="Z181" s="5" t="n"/>
      <c r="AA181" s="5" t="n"/>
      <c r="AB181" s="5" t="n"/>
      <c r="AC181" s="5" t="n"/>
      <c r="AD181" s="6" t="n"/>
      <c r="AE181" s="63" t="n"/>
      <c r="AF181" s="6" t="n"/>
      <c r="AG181" s="63" t="n"/>
      <c r="AH181" s="6" t="n"/>
      <c r="AI181" s="63" t="n"/>
      <c r="AJ181" s="6" t="n"/>
      <c r="AK181" s="63" t="n"/>
      <c r="AL181" s="6" t="n"/>
      <c r="AM181" s="63" t="n"/>
      <c r="AN181" s="5" t="n"/>
      <c r="AO181" s="6" t="n"/>
      <c r="AP181" s="63" t="n"/>
      <c r="AQ181" s="6" t="n"/>
      <c r="AR181" s="62" t="n"/>
      <c r="AS181" s="5" t="n"/>
      <c r="AT181" s="6" t="n"/>
      <c r="AU181" s="63" t="n"/>
      <c r="AV181" s="6" t="n"/>
      <c r="AW181" s="63" t="n"/>
      <c r="AX181" s="6" t="n"/>
      <c r="AY181" s="63" t="n"/>
      <c r="AZ181" s="6" t="n"/>
      <c r="BA181" s="63" t="n"/>
      <c r="BB181" s="5" t="n"/>
      <c r="BC181" s="6" t="n"/>
      <c r="BD181" s="63" t="n"/>
      <c r="BE181" s="6" t="n"/>
      <c r="BF181" s="62" t="n"/>
      <c r="BG181" s="5" t="n"/>
      <c r="BH181" s="6" t="n"/>
      <c r="BI181" s="64" t="n"/>
      <c r="BJ181" s="5" t="n"/>
      <c r="BK181" s="42" t="n"/>
    </row>
    <row r="182" ht="20" customHeight="1">
      <c r="A182" s="65" t="n"/>
      <c r="B182" s="6" t="n"/>
      <c r="C182" s="66" t="n"/>
      <c r="D182" s="5" t="n"/>
      <c r="E182" s="5" t="n"/>
      <c r="F182" s="6" t="n"/>
      <c r="G182" s="66" t="n"/>
      <c r="H182" s="5" t="n"/>
      <c r="I182" s="6" t="n"/>
      <c r="J182" s="66" t="n"/>
      <c r="K182" s="5" t="n"/>
      <c r="L182" s="6" t="n"/>
      <c r="M182" s="66" t="n"/>
      <c r="N182" s="5" t="n"/>
      <c r="O182" s="5" t="n"/>
      <c r="P182" s="5" t="n"/>
      <c r="Q182" s="6" t="n"/>
      <c r="R182" s="66" t="n"/>
      <c r="S182" s="5" t="n"/>
      <c r="T182" s="5" t="n"/>
      <c r="U182" s="5" t="n"/>
      <c r="V182" s="5" t="n"/>
      <c r="W182" s="5" t="n"/>
      <c r="X182" s="6" t="n"/>
      <c r="Y182" s="66" t="n"/>
      <c r="Z182" s="5" t="n"/>
      <c r="AA182" s="5" t="n"/>
      <c r="AB182" s="5" t="n"/>
      <c r="AC182" s="5" t="n"/>
      <c r="AD182" s="6" t="n"/>
      <c r="AE182" s="67" t="n"/>
      <c r="AF182" s="6" t="n"/>
      <c r="AG182" s="67" t="n"/>
      <c r="AH182" s="6" t="n"/>
      <c r="AI182" s="67" t="n"/>
      <c r="AJ182" s="6" t="n"/>
      <c r="AK182" s="67" t="n"/>
      <c r="AL182" s="6" t="n"/>
      <c r="AM182" s="67" t="n"/>
      <c r="AN182" s="5" t="n"/>
      <c r="AO182" s="6" t="n"/>
      <c r="AP182" s="67" t="n"/>
      <c r="AQ182" s="6" t="n"/>
      <c r="AR182" s="66" t="n"/>
      <c r="AS182" s="5" t="n"/>
      <c r="AT182" s="6" t="n"/>
      <c r="AU182" s="67" t="n"/>
      <c r="AV182" s="6" t="n"/>
      <c r="AW182" s="67" t="n"/>
      <c r="AX182" s="6" t="n"/>
      <c r="AY182" s="67" t="n"/>
      <c r="AZ182" s="6" t="n"/>
      <c r="BA182" s="67" t="n"/>
      <c r="BB182" s="5" t="n"/>
      <c r="BC182" s="6" t="n"/>
      <c r="BD182" s="67" t="n"/>
      <c r="BE182" s="6" t="n"/>
      <c r="BF182" s="66" t="n"/>
      <c r="BG182" s="5" t="n"/>
      <c r="BH182" s="6" t="n"/>
      <c r="BI182" s="68" t="n"/>
      <c r="BJ182" s="5" t="n"/>
      <c r="BK182" s="42" t="n"/>
    </row>
    <row r="183" ht="20" customHeight="1">
      <c r="A183" s="61" t="n"/>
      <c r="B183" s="6" t="n"/>
      <c r="C183" s="62" t="n"/>
      <c r="D183" s="5" t="n"/>
      <c r="E183" s="5" t="n"/>
      <c r="F183" s="6" t="n"/>
      <c r="G183" s="62" t="n"/>
      <c r="H183" s="5" t="n"/>
      <c r="I183" s="6" t="n"/>
      <c r="J183" s="62" t="n"/>
      <c r="K183" s="5" t="n"/>
      <c r="L183" s="6" t="n"/>
      <c r="M183" s="62" t="n"/>
      <c r="N183" s="5" t="n"/>
      <c r="O183" s="5" t="n"/>
      <c r="P183" s="5" t="n"/>
      <c r="Q183" s="6" t="n"/>
      <c r="R183" s="62" t="n"/>
      <c r="S183" s="5" t="n"/>
      <c r="T183" s="5" t="n"/>
      <c r="U183" s="5" t="n"/>
      <c r="V183" s="5" t="n"/>
      <c r="W183" s="5" t="n"/>
      <c r="X183" s="6" t="n"/>
      <c r="Y183" s="62" t="n"/>
      <c r="Z183" s="5" t="n"/>
      <c r="AA183" s="5" t="n"/>
      <c r="AB183" s="5" t="n"/>
      <c r="AC183" s="5" t="n"/>
      <c r="AD183" s="6" t="n"/>
      <c r="AE183" s="63" t="n"/>
      <c r="AF183" s="6" t="n"/>
      <c r="AG183" s="63" t="n"/>
      <c r="AH183" s="6" t="n"/>
      <c r="AI183" s="63" t="n"/>
      <c r="AJ183" s="6" t="n"/>
      <c r="AK183" s="63" t="n"/>
      <c r="AL183" s="6" t="n"/>
      <c r="AM183" s="63" t="n"/>
      <c r="AN183" s="5" t="n"/>
      <c r="AO183" s="6" t="n"/>
      <c r="AP183" s="63" t="n"/>
      <c r="AQ183" s="6" t="n"/>
      <c r="AR183" s="62" t="n"/>
      <c r="AS183" s="5" t="n"/>
      <c r="AT183" s="6" t="n"/>
      <c r="AU183" s="63" t="n"/>
      <c r="AV183" s="6" t="n"/>
      <c r="AW183" s="63" t="n"/>
      <c r="AX183" s="6" t="n"/>
      <c r="AY183" s="63" t="n"/>
      <c r="AZ183" s="6" t="n"/>
      <c r="BA183" s="63" t="n"/>
      <c r="BB183" s="5" t="n"/>
      <c r="BC183" s="6" t="n"/>
      <c r="BD183" s="63" t="n"/>
      <c r="BE183" s="6" t="n"/>
      <c r="BF183" s="62" t="n"/>
      <c r="BG183" s="5" t="n"/>
      <c r="BH183" s="6" t="n"/>
      <c r="BI183" s="64" t="n"/>
      <c r="BJ183" s="5" t="n"/>
      <c r="BK183" s="42" t="n"/>
    </row>
    <row r="184" ht="20" customHeight="1">
      <c r="A184" s="65" t="n"/>
      <c r="B184" s="6" t="n"/>
      <c r="C184" s="66" t="n"/>
      <c r="D184" s="5" t="n"/>
      <c r="E184" s="5" t="n"/>
      <c r="F184" s="6" t="n"/>
      <c r="G184" s="66" t="n"/>
      <c r="H184" s="5" t="n"/>
      <c r="I184" s="6" t="n"/>
      <c r="J184" s="66" t="n"/>
      <c r="K184" s="5" t="n"/>
      <c r="L184" s="6" t="n"/>
      <c r="M184" s="66" t="n"/>
      <c r="N184" s="5" t="n"/>
      <c r="O184" s="5" t="n"/>
      <c r="P184" s="5" t="n"/>
      <c r="Q184" s="6" t="n"/>
      <c r="R184" s="66" t="n"/>
      <c r="S184" s="5" t="n"/>
      <c r="T184" s="5" t="n"/>
      <c r="U184" s="5" t="n"/>
      <c r="V184" s="5" t="n"/>
      <c r="W184" s="5" t="n"/>
      <c r="X184" s="6" t="n"/>
      <c r="Y184" s="66" t="n"/>
      <c r="Z184" s="5" t="n"/>
      <c r="AA184" s="5" t="n"/>
      <c r="AB184" s="5" t="n"/>
      <c r="AC184" s="5" t="n"/>
      <c r="AD184" s="6" t="n"/>
      <c r="AE184" s="67" t="n"/>
      <c r="AF184" s="6" t="n"/>
      <c r="AG184" s="67" t="n"/>
      <c r="AH184" s="6" t="n"/>
      <c r="AI184" s="67" t="n"/>
      <c r="AJ184" s="6" t="n"/>
      <c r="AK184" s="67" t="n"/>
      <c r="AL184" s="6" t="n"/>
      <c r="AM184" s="67" t="n"/>
      <c r="AN184" s="5" t="n"/>
      <c r="AO184" s="6" t="n"/>
      <c r="AP184" s="67" t="n"/>
      <c r="AQ184" s="6" t="n"/>
      <c r="AR184" s="66" t="n"/>
      <c r="AS184" s="5" t="n"/>
      <c r="AT184" s="6" t="n"/>
      <c r="AU184" s="67" t="n"/>
      <c r="AV184" s="6" t="n"/>
      <c r="AW184" s="67" t="n"/>
      <c r="AX184" s="6" t="n"/>
      <c r="AY184" s="67" t="n"/>
      <c r="AZ184" s="6" t="n"/>
      <c r="BA184" s="67" t="n"/>
      <c r="BB184" s="5" t="n"/>
      <c r="BC184" s="6" t="n"/>
      <c r="BD184" s="67" t="n"/>
      <c r="BE184" s="6" t="n"/>
      <c r="BF184" s="66" t="n"/>
      <c r="BG184" s="5" t="n"/>
      <c r="BH184" s="6" t="n"/>
      <c r="BI184" s="68" t="n"/>
      <c r="BJ184" s="5" t="n"/>
      <c r="BK184" s="42" t="n"/>
    </row>
    <row r="185" ht="20" customHeight="1">
      <c r="A185" s="61" t="n"/>
      <c r="B185" s="6" t="n"/>
      <c r="C185" s="62" t="n"/>
      <c r="D185" s="5" t="n"/>
      <c r="E185" s="5" t="n"/>
      <c r="F185" s="6" t="n"/>
      <c r="G185" s="62" t="n"/>
      <c r="H185" s="5" t="n"/>
      <c r="I185" s="6" t="n"/>
      <c r="J185" s="62" t="n"/>
      <c r="K185" s="5" t="n"/>
      <c r="L185" s="6" t="n"/>
      <c r="M185" s="62" t="n"/>
      <c r="N185" s="5" t="n"/>
      <c r="O185" s="5" t="n"/>
      <c r="P185" s="5" t="n"/>
      <c r="Q185" s="6" t="n"/>
      <c r="R185" s="62" t="n"/>
      <c r="S185" s="5" t="n"/>
      <c r="T185" s="5" t="n"/>
      <c r="U185" s="5" t="n"/>
      <c r="V185" s="5" t="n"/>
      <c r="W185" s="5" t="n"/>
      <c r="X185" s="6" t="n"/>
      <c r="Y185" s="62" t="n"/>
      <c r="Z185" s="5" t="n"/>
      <c r="AA185" s="5" t="n"/>
      <c r="AB185" s="5" t="n"/>
      <c r="AC185" s="5" t="n"/>
      <c r="AD185" s="6" t="n"/>
      <c r="AE185" s="63" t="n"/>
      <c r="AF185" s="6" t="n"/>
      <c r="AG185" s="63" t="n"/>
      <c r="AH185" s="6" t="n"/>
      <c r="AI185" s="63" t="n"/>
      <c r="AJ185" s="6" t="n"/>
      <c r="AK185" s="63" t="n"/>
      <c r="AL185" s="6" t="n"/>
      <c r="AM185" s="63" t="n"/>
      <c r="AN185" s="5" t="n"/>
      <c r="AO185" s="6" t="n"/>
      <c r="AP185" s="63" t="n"/>
      <c r="AQ185" s="6" t="n"/>
      <c r="AR185" s="62" t="n"/>
      <c r="AS185" s="5" t="n"/>
      <c r="AT185" s="6" t="n"/>
      <c r="AU185" s="63" t="n"/>
      <c r="AV185" s="6" t="n"/>
      <c r="AW185" s="63" t="n"/>
      <c r="AX185" s="6" t="n"/>
      <c r="AY185" s="63" t="n"/>
      <c r="AZ185" s="6" t="n"/>
      <c r="BA185" s="63" t="n"/>
      <c r="BB185" s="5" t="n"/>
      <c r="BC185" s="6" t="n"/>
      <c r="BD185" s="63" t="n"/>
      <c r="BE185" s="6" t="n"/>
      <c r="BF185" s="62" t="n"/>
      <c r="BG185" s="5" t="n"/>
      <c r="BH185" s="6" t="n"/>
      <c r="BI185" s="64" t="n"/>
      <c r="BJ185" s="5" t="n"/>
      <c r="BK185" s="42" t="n"/>
    </row>
    <row r="186" ht="20" customHeight="1">
      <c r="A186" s="65" t="n"/>
      <c r="B186" s="6" t="n"/>
      <c r="C186" s="66" t="n"/>
      <c r="D186" s="5" t="n"/>
      <c r="E186" s="5" t="n"/>
      <c r="F186" s="6" t="n"/>
      <c r="G186" s="66" t="n"/>
      <c r="H186" s="5" t="n"/>
      <c r="I186" s="6" t="n"/>
      <c r="J186" s="66" t="n"/>
      <c r="K186" s="5" t="n"/>
      <c r="L186" s="6" t="n"/>
      <c r="M186" s="66" t="n"/>
      <c r="N186" s="5" t="n"/>
      <c r="O186" s="5" t="n"/>
      <c r="P186" s="5" t="n"/>
      <c r="Q186" s="6" t="n"/>
      <c r="R186" s="66" t="n"/>
      <c r="S186" s="5" t="n"/>
      <c r="T186" s="5" t="n"/>
      <c r="U186" s="5" t="n"/>
      <c r="V186" s="5" t="n"/>
      <c r="W186" s="5" t="n"/>
      <c r="X186" s="6" t="n"/>
      <c r="Y186" s="66" t="n"/>
      <c r="Z186" s="5" t="n"/>
      <c r="AA186" s="5" t="n"/>
      <c r="AB186" s="5" t="n"/>
      <c r="AC186" s="5" t="n"/>
      <c r="AD186" s="6" t="n"/>
      <c r="AE186" s="67" t="n"/>
      <c r="AF186" s="6" t="n"/>
      <c r="AG186" s="67" t="n"/>
      <c r="AH186" s="6" t="n"/>
      <c r="AI186" s="67" t="n"/>
      <c r="AJ186" s="6" t="n"/>
      <c r="AK186" s="67" t="n"/>
      <c r="AL186" s="6" t="n"/>
      <c r="AM186" s="67" t="n"/>
      <c r="AN186" s="5" t="n"/>
      <c r="AO186" s="6" t="n"/>
      <c r="AP186" s="67" t="n"/>
      <c r="AQ186" s="6" t="n"/>
      <c r="AR186" s="66" t="n"/>
      <c r="AS186" s="5" t="n"/>
      <c r="AT186" s="6" t="n"/>
      <c r="AU186" s="67" t="n"/>
      <c r="AV186" s="6" t="n"/>
      <c r="AW186" s="67" t="n"/>
      <c r="AX186" s="6" t="n"/>
      <c r="AY186" s="67" t="n"/>
      <c r="AZ186" s="6" t="n"/>
      <c r="BA186" s="67" t="n"/>
      <c r="BB186" s="5" t="n"/>
      <c r="BC186" s="6" t="n"/>
      <c r="BD186" s="67" t="n"/>
      <c r="BE186" s="6" t="n"/>
      <c r="BF186" s="66" t="n"/>
      <c r="BG186" s="5" t="n"/>
      <c r="BH186" s="6" t="n"/>
      <c r="BI186" s="68" t="n"/>
      <c r="BJ186" s="5" t="n"/>
      <c r="BK186" s="42" t="n"/>
    </row>
    <row r="187" ht="20" customHeight="1">
      <c r="A187" s="61" t="n"/>
      <c r="B187" s="6" t="n"/>
      <c r="C187" s="62" t="n"/>
      <c r="D187" s="5" t="n"/>
      <c r="E187" s="5" t="n"/>
      <c r="F187" s="6" t="n"/>
      <c r="G187" s="62" t="n"/>
      <c r="H187" s="5" t="n"/>
      <c r="I187" s="6" t="n"/>
      <c r="J187" s="62" t="n"/>
      <c r="K187" s="5" t="n"/>
      <c r="L187" s="6" t="n"/>
      <c r="M187" s="62" t="n"/>
      <c r="N187" s="5" t="n"/>
      <c r="O187" s="5" t="n"/>
      <c r="P187" s="5" t="n"/>
      <c r="Q187" s="6" t="n"/>
      <c r="R187" s="62" t="n"/>
      <c r="S187" s="5" t="n"/>
      <c r="T187" s="5" t="n"/>
      <c r="U187" s="5" t="n"/>
      <c r="V187" s="5" t="n"/>
      <c r="W187" s="5" t="n"/>
      <c r="X187" s="6" t="n"/>
      <c r="Y187" s="62" t="n"/>
      <c r="Z187" s="5" t="n"/>
      <c r="AA187" s="5" t="n"/>
      <c r="AB187" s="5" t="n"/>
      <c r="AC187" s="5" t="n"/>
      <c r="AD187" s="6" t="n"/>
      <c r="AE187" s="63" t="n"/>
      <c r="AF187" s="6" t="n"/>
      <c r="AG187" s="63" t="n"/>
      <c r="AH187" s="6" t="n"/>
      <c r="AI187" s="63" t="n"/>
      <c r="AJ187" s="6" t="n"/>
      <c r="AK187" s="63" t="n"/>
      <c r="AL187" s="6" t="n"/>
      <c r="AM187" s="63" t="n"/>
      <c r="AN187" s="5" t="n"/>
      <c r="AO187" s="6" t="n"/>
      <c r="AP187" s="63" t="n"/>
      <c r="AQ187" s="6" t="n"/>
      <c r="AR187" s="62" t="n"/>
      <c r="AS187" s="5" t="n"/>
      <c r="AT187" s="6" t="n"/>
      <c r="AU187" s="63" t="n"/>
      <c r="AV187" s="6" t="n"/>
      <c r="AW187" s="63" t="n"/>
      <c r="AX187" s="6" t="n"/>
      <c r="AY187" s="63" t="n"/>
      <c r="AZ187" s="6" t="n"/>
      <c r="BA187" s="63" t="n"/>
      <c r="BB187" s="5" t="n"/>
      <c r="BC187" s="6" t="n"/>
      <c r="BD187" s="63" t="n"/>
      <c r="BE187" s="6" t="n"/>
      <c r="BF187" s="62" t="n"/>
      <c r="BG187" s="5" t="n"/>
      <c r="BH187" s="6" t="n"/>
      <c r="BI187" s="64" t="n"/>
      <c r="BJ187" s="5" t="n"/>
      <c r="BK187" s="42" t="n"/>
    </row>
    <row r="188" ht="20" customHeight="1">
      <c r="A188" s="65" t="n"/>
      <c r="B188" s="6" t="n"/>
      <c r="C188" s="66" t="n"/>
      <c r="D188" s="5" t="n"/>
      <c r="E188" s="5" t="n"/>
      <c r="F188" s="6" t="n"/>
      <c r="G188" s="66" t="n"/>
      <c r="H188" s="5" t="n"/>
      <c r="I188" s="6" t="n"/>
      <c r="J188" s="66" t="n"/>
      <c r="K188" s="5" t="n"/>
      <c r="L188" s="6" t="n"/>
      <c r="M188" s="66" t="n"/>
      <c r="N188" s="5" t="n"/>
      <c r="O188" s="5" t="n"/>
      <c r="P188" s="5" t="n"/>
      <c r="Q188" s="6" t="n"/>
      <c r="R188" s="66" t="n"/>
      <c r="S188" s="5" t="n"/>
      <c r="T188" s="5" t="n"/>
      <c r="U188" s="5" t="n"/>
      <c r="V188" s="5" t="n"/>
      <c r="W188" s="5" t="n"/>
      <c r="X188" s="6" t="n"/>
      <c r="Y188" s="66" t="n"/>
      <c r="Z188" s="5" t="n"/>
      <c r="AA188" s="5" t="n"/>
      <c r="AB188" s="5" t="n"/>
      <c r="AC188" s="5" t="n"/>
      <c r="AD188" s="6" t="n"/>
      <c r="AE188" s="67" t="n"/>
      <c r="AF188" s="6" t="n"/>
      <c r="AG188" s="67" t="n"/>
      <c r="AH188" s="6" t="n"/>
      <c r="AI188" s="67" t="n"/>
      <c r="AJ188" s="6" t="n"/>
      <c r="AK188" s="67" t="n"/>
      <c r="AL188" s="6" t="n"/>
      <c r="AM188" s="67" t="n"/>
      <c r="AN188" s="5" t="n"/>
      <c r="AO188" s="6" t="n"/>
      <c r="AP188" s="67" t="n"/>
      <c r="AQ188" s="6" t="n"/>
      <c r="AR188" s="66" t="n"/>
      <c r="AS188" s="5" t="n"/>
      <c r="AT188" s="6" t="n"/>
      <c r="AU188" s="67" t="n"/>
      <c r="AV188" s="6" t="n"/>
      <c r="AW188" s="67" t="n"/>
      <c r="AX188" s="6" t="n"/>
      <c r="AY188" s="67" t="n"/>
      <c r="AZ188" s="6" t="n"/>
      <c r="BA188" s="67" t="n"/>
      <c r="BB188" s="5" t="n"/>
      <c r="BC188" s="6" t="n"/>
      <c r="BD188" s="67" t="n"/>
      <c r="BE188" s="6" t="n"/>
      <c r="BF188" s="66" t="n"/>
      <c r="BG188" s="5" t="n"/>
      <c r="BH188" s="6" t="n"/>
      <c r="BI188" s="68" t="n"/>
      <c r="BJ188" s="5" t="n"/>
      <c r="BK188" s="42" t="n"/>
    </row>
    <row r="189" ht="20" customHeight="1">
      <c r="A189" s="61" t="n"/>
      <c r="B189" s="6" t="n"/>
      <c r="C189" s="62" t="n"/>
      <c r="D189" s="5" t="n"/>
      <c r="E189" s="5" t="n"/>
      <c r="F189" s="6" t="n"/>
      <c r="G189" s="62" t="n"/>
      <c r="H189" s="5" t="n"/>
      <c r="I189" s="6" t="n"/>
      <c r="J189" s="62" t="n"/>
      <c r="K189" s="5" t="n"/>
      <c r="L189" s="6" t="n"/>
      <c r="M189" s="62" t="n"/>
      <c r="N189" s="5" t="n"/>
      <c r="O189" s="5" t="n"/>
      <c r="P189" s="5" t="n"/>
      <c r="Q189" s="6" t="n"/>
      <c r="R189" s="62" t="n"/>
      <c r="S189" s="5" t="n"/>
      <c r="T189" s="5" t="n"/>
      <c r="U189" s="5" t="n"/>
      <c r="V189" s="5" t="n"/>
      <c r="W189" s="5" t="n"/>
      <c r="X189" s="6" t="n"/>
      <c r="Y189" s="62" t="n"/>
      <c r="Z189" s="5" t="n"/>
      <c r="AA189" s="5" t="n"/>
      <c r="AB189" s="5" t="n"/>
      <c r="AC189" s="5" t="n"/>
      <c r="AD189" s="6" t="n"/>
      <c r="AE189" s="63" t="n"/>
      <c r="AF189" s="6" t="n"/>
      <c r="AG189" s="63" t="n"/>
      <c r="AH189" s="6" t="n"/>
      <c r="AI189" s="63" t="n"/>
      <c r="AJ189" s="6" t="n"/>
      <c r="AK189" s="63" t="n"/>
      <c r="AL189" s="6" t="n"/>
      <c r="AM189" s="63" t="n"/>
      <c r="AN189" s="5" t="n"/>
      <c r="AO189" s="6" t="n"/>
      <c r="AP189" s="63" t="n"/>
      <c r="AQ189" s="6" t="n"/>
      <c r="AR189" s="62" t="n"/>
      <c r="AS189" s="5" t="n"/>
      <c r="AT189" s="6" t="n"/>
      <c r="AU189" s="63" t="n"/>
      <c r="AV189" s="6" t="n"/>
      <c r="AW189" s="63" t="n"/>
      <c r="AX189" s="6" t="n"/>
      <c r="AY189" s="63" t="n"/>
      <c r="AZ189" s="6" t="n"/>
      <c r="BA189" s="63" t="n"/>
      <c r="BB189" s="5" t="n"/>
      <c r="BC189" s="6" t="n"/>
      <c r="BD189" s="63" t="n"/>
      <c r="BE189" s="6" t="n"/>
      <c r="BF189" s="62" t="n"/>
      <c r="BG189" s="5" t="n"/>
      <c r="BH189" s="6" t="n"/>
      <c r="BI189" s="64" t="n"/>
      <c r="BJ189" s="5" t="n"/>
      <c r="BK189" s="42" t="n"/>
    </row>
    <row r="190" ht="20" customHeight="1">
      <c r="A190" s="65" t="n"/>
      <c r="B190" s="6" t="n"/>
      <c r="C190" s="66" t="n"/>
      <c r="D190" s="5" t="n"/>
      <c r="E190" s="5" t="n"/>
      <c r="F190" s="6" t="n"/>
      <c r="G190" s="66" t="n"/>
      <c r="H190" s="5" t="n"/>
      <c r="I190" s="6" t="n"/>
      <c r="J190" s="66" t="n"/>
      <c r="K190" s="5" t="n"/>
      <c r="L190" s="6" t="n"/>
      <c r="M190" s="66" t="n"/>
      <c r="N190" s="5" t="n"/>
      <c r="O190" s="5" t="n"/>
      <c r="P190" s="5" t="n"/>
      <c r="Q190" s="6" t="n"/>
      <c r="R190" s="66" t="n"/>
      <c r="S190" s="5" t="n"/>
      <c r="T190" s="5" t="n"/>
      <c r="U190" s="5" t="n"/>
      <c r="V190" s="5" t="n"/>
      <c r="W190" s="5" t="n"/>
      <c r="X190" s="6" t="n"/>
      <c r="Y190" s="66" t="n"/>
      <c r="Z190" s="5" t="n"/>
      <c r="AA190" s="5" t="n"/>
      <c r="AB190" s="5" t="n"/>
      <c r="AC190" s="5" t="n"/>
      <c r="AD190" s="6" t="n"/>
      <c r="AE190" s="67" t="n"/>
      <c r="AF190" s="6" t="n"/>
      <c r="AG190" s="67" t="n"/>
      <c r="AH190" s="6" t="n"/>
      <c r="AI190" s="67" t="n"/>
      <c r="AJ190" s="6" t="n"/>
      <c r="AK190" s="67" t="n"/>
      <c r="AL190" s="6" t="n"/>
      <c r="AM190" s="67" t="n"/>
      <c r="AN190" s="5" t="n"/>
      <c r="AO190" s="6" t="n"/>
      <c r="AP190" s="67" t="n"/>
      <c r="AQ190" s="6" t="n"/>
      <c r="AR190" s="66" t="n"/>
      <c r="AS190" s="5" t="n"/>
      <c r="AT190" s="6" t="n"/>
      <c r="AU190" s="67" t="n"/>
      <c r="AV190" s="6" t="n"/>
      <c r="AW190" s="67" t="n"/>
      <c r="AX190" s="6" t="n"/>
      <c r="AY190" s="67" t="n"/>
      <c r="AZ190" s="6" t="n"/>
      <c r="BA190" s="67" t="n"/>
      <c r="BB190" s="5" t="n"/>
      <c r="BC190" s="6" t="n"/>
      <c r="BD190" s="67" t="n"/>
      <c r="BE190" s="6" t="n"/>
      <c r="BF190" s="66" t="n"/>
      <c r="BG190" s="5" t="n"/>
      <c r="BH190" s="6" t="n"/>
      <c r="BI190" s="68" t="n"/>
      <c r="BJ190" s="5" t="n"/>
      <c r="BK190" s="42" t="n"/>
    </row>
    <row r="191" ht="20" customHeight="1">
      <c r="A191" s="61" t="n"/>
      <c r="B191" s="6" t="n"/>
      <c r="C191" s="62" t="n"/>
      <c r="D191" s="5" t="n"/>
      <c r="E191" s="5" t="n"/>
      <c r="F191" s="6" t="n"/>
      <c r="G191" s="62" t="n"/>
      <c r="H191" s="5" t="n"/>
      <c r="I191" s="6" t="n"/>
      <c r="J191" s="62" t="n"/>
      <c r="K191" s="5" t="n"/>
      <c r="L191" s="6" t="n"/>
      <c r="M191" s="62" t="n"/>
      <c r="N191" s="5" t="n"/>
      <c r="O191" s="5" t="n"/>
      <c r="P191" s="5" t="n"/>
      <c r="Q191" s="6" t="n"/>
      <c r="R191" s="62" t="n"/>
      <c r="S191" s="5" t="n"/>
      <c r="T191" s="5" t="n"/>
      <c r="U191" s="5" t="n"/>
      <c r="V191" s="5" t="n"/>
      <c r="W191" s="5" t="n"/>
      <c r="X191" s="6" t="n"/>
      <c r="Y191" s="62" t="n"/>
      <c r="Z191" s="5" t="n"/>
      <c r="AA191" s="5" t="n"/>
      <c r="AB191" s="5" t="n"/>
      <c r="AC191" s="5" t="n"/>
      <c r="AD191" s="6" t="n"/>
      <c r="AE191" s="63" t="n"/>
      <c r="AF191" s="6" t="n"/>
      <c r="AG191" s="63" t="n"/>
      <c r="AH191" s="6" t="n"/>
      <c r="AI191" s="63" t="n"/>
      <c r="AJ191" s="6" t="n"/>
      <c r="AK191" s="63" t="n"/>
      <c r="AL191" s="6" t="n"/>
      <c r="AM191" s="63" t="n"/>
      <c r="AN191" s="5" t="n"/>
      <c r="AO191" s="6" t="n"/>
      <c r="AP191" s="63" t="n"/>
      <c r="AQ191" s="6" t="n"/>
      <c r="AR191" s="62" t="n"/>
      <c r="AS191" s="5" t="n"/>
      <c r="AT191" s="6" t="n"/>
      <c r="AU191" s="63" t="n"/>
      <c r="AV191" s="6" t="n"/>
      <c r="AW191" s="63" t="n"/>
      <c r="AX191" s="6" t="n"/>
      <c r="AY191" s="63" t="n"/>
      <c r="AZ191" s="6" t="n"/>
      <c r="BA191" s="63" t="n"/>
      <c r="BB191" s="5" t="n"/>
      <c r="BC191" s="6" t="n"/>
      <c r="BD191" s="63" t="n"/>
      <c r="BE191" s="6" t="n"/>
      <c r="BF191" s="62" t="n"/>
      <c r="BG191" s="5" t="n"/>
      <c r="BH191" s="6" t="n"/>
      <c r="BI191" s="64" t="n"/>
      <c r="BJ191" s="5" t="n"/>
      <c r="BK191" s="42" t="n"/>
    </row>
    <row r="192" ht="20" customHeight="1">
      <c r="A192" s="65" t="n"/>
      <c r="B192" s="6" t="n"/>
      <c r="C192" s="66" t="n"/>
      <c r="D192" s="5" t="n"/>
      <c r="E192" s="5" t="n"/>
      <c r="F192" s="6" t="n"/>
      <c r="G192" s="66" t="n"/>
      <c r="H192" s="5" t="n"/>
      <c r="I192" s="6" t="n"/>
      <c r="J192" s="66" t="n"/>
      <c r="K192" s="5" t="n"/>
      <c r="L192" s="6" t="n"/>
      <c r="M192" s="66" t="n"/>
      <c r="N192" s="5" t="n"/>
      <c r="O192" s="5" t="n"/>
      <c r="P192" s="5" t="n"/>
      <c r="Q192" s="6" t="n"/>
      <c r="R192" s="66" t="n"/>
      <c r="S192" s="5" t="n"/>
      <c r="T192" s="5" t="n"/>
      <c r="U192" s="5" t="n"/>
      <c r="V192" s="5" t="n"/>
      <c r="W192" s="5" t="n"/>
      <c r="X192" s="6" t="n"/>
      <c r="Y192" s="66" t="n"/>
      <c r="Z192" s="5" t="n"/>
      <c r="AA192" s="5" t="n"/>
      <c r="AB192" s="5" t="n"/>
      <c r="AC192" s="5" t="n"/>
      <c r="AD192" s="6" t="n"/>
      <c r="AE192" s="67" t="n"/>
      <c r="AF192" s="6" t="n"/>
      <c r="AG192" s="67" t="n"/>
      <c r="AH192" s="6" t="n"/>
      <c r="AI192" s="67" t="n"/>
      <c r="AJ192" s="6" t="n"/>
      <c r="AK192" s="67" t="n"/>
      <c r="AL192" s="6" t="n"/>
      <c r="AM192" s="67" t="n"/>
      <c r="AN192" s="5" t="n"/>
      <c r="AO192" s="6" t="n"/>
      <c r="AP192" s="67" t="n"/>
      <c r="AQ192" s="6" t="n"/>
      <c r="AR192" s="66" t="n"/>
      <c r="AS192" s="5" t="n"/>
      <c r="AT192" s="6" t="n"/>
      <c r="AU192" s="67" t="n"/>
      <c r="AV192" s="6" t="n"/>
      <c r="AW192" s="67" t="n"/>
      <c r="AX192" s="6" t="n"/>
      <c r="AY192" s="67" t="n"/>
      <c r="AZ192" s="6" t="n"/>
      <c r="BA192" s="67" t="n"/>
      <c r="BB192" s="5" t="n"/>
      <c r="BC192" s="6" t="n"/>
      <c r="BD192" s="67" t="n"/>
      <c r="BE192" s="6" t="n"/>
      <c r="BF192" s="66" t="n"/>
      <c r="BG192" s="5" t="n"/>
      <c r="BH192" s="6" t="n"/>
      <c r="BI192" s="68" t="n"/>
      <c r="BJ192" s="5" t="n"/>
      <c r="BK192" s="42" t="n"/>
    </row>
    <row r="193" ht="20" customHeight="1">
      <c r="A193" s="61" t="n"/>
      <c r="B193" s="6" t="n"/>
      <c r="C193" s="62" t="n"/>
      <c r="D193" s="5" t="n"/>
      <c r="E193" s="5" t="n"/>
      <c r="F193" s="6" t="n"/>
      <c r="G193" s="62" t="n"/>
      <c r="H193" s="5" t="n"/>
      <c r="I193" s="6" t="n"/>
      <c r="J193" s="62" t="n"/>
      <c r="K193" s="5" t="n"/>
      <c r="L193" s="6" t="n"/>
      <c r="M193" s="62" t="n"/>
      <c r="N193" s="5" t="n"/>
      <c r="O193" s="5" t="n"/>
      <c r="P193" s="5" t="n"/>
      <c r="Q193" s="6" t="n"/>
      <c r="R193" s="62" t="n"/>
      <c r="S193" s="5" t="n"/>
      <c r="T193" s="5" t="n"/>
      <c r="U193" s="5" t="n"/>
      <c r="V193" s="5" t="n"/>
      <c r="W193" s="5" t="n"/>
      <c r="X193" s="6" t="n"/>
      <c r="Y193" s="62" t="n"/>
      <c r="Z193" s="5" t="n"/>
      <c r="AA193" s="5" t="n"/>
      <c r="AB193" s="5" t="n"/>
      <c r="AC193" s="5" t="n"/>
      <c r="AD193" s="6" t="n"/>
      <c r="AE193" s="63" t="n"/>
      <c r="AF193" s="6" t="n"/>
      <c r="AG193" s="63" t="n"/>
      <c r="AH193" s="6" t="n"/>
      <c r="AI193" s="63" t="n"/>
      <c r="AJ193" s="6" t="n"/>
      <c r="AK193" s="63" t="n"/>
      <c r="AL193" s="6" t="n"/>
      <c r="AM193" s="63" t="n"/>
      <c r="AN193" s="5" t="n"/>
      <c r="AO193" s="6" t="n"/>
      <c r="AP193" s="63" t="n"/>
      <c r="AQ193" s="6" t="n"/>
      <c r="AR193" s="62" t="n"/>
      <c r="AS193" s="5" t="n"/>
      <c r="AT193" s="6" t="n"/>
      <c r="AU193" s="63" t="n"/>
      <c r="AV193" s="6" t="n"/>
      <c r="AW193" s="63" t="n"/>
      <c r="AX193" s="6" t="n"/>
      <c r="AY193" s="63" t="n"/>
      <c r="AZ193" s="6" t="n"/>
      <c r="BA193" s="63" t="n"/>
      <c r="BB193" s="5" t="n"/>
      <c r="BC193" s="6" t="n"/>
      <c r="BD193" s="63" t="n"/>
      <c r="BE193" s="6" t="n"/>
      <c r="BF193" s="62" t="n"/>
      <c r="BG193" s="5" t="n"/>
      <c r="BH193" s="6" t="n"/>
      <c r="BI193" s="64" t="n"/>
      <c r="BJ193" s="5" t="n"/>
      <c r="BK193" s="42" t="n"/>
    </row>
    <row r="194" ht="20" customHeight="1">
      <c r="A194" s="65" t="n"/>
      <c r="B194" s="6" t="n"/>
      <c r="C194" s="66" t="n"/>
      <c r="D194" s="5" t="n"/>
      <c r="E194" s="5" t="n"/>
      <c r="F194" s="6" t="n"/>
      <c r="G194" s="66" t="n"/>
      <c r="H194" s="5" t="n"/>
      <c r="I194" s="6" t="n"/>
      <c r="J194" s="66" t="n"/>
      <c r="K194" s="5" t="n"/>
      <c r="L194" s="6" t="n"/>
      <c r="M194" s="66" t="n"/>
      <c r="N194" s="5" t="n"/>
      <c r="O194" s="5" t="n"/>
      <c r="P194" s="5" t="n"/>
      <c r="Q194" s="6" t="n"/>
      <c r="R194" s="66" t="n"/>
      <c r="S194" s="5" t="n"/>
      <c r="T194" s="5" t="n"/>
      <c r="U194" s="5" t="n"/>
      <c r="V194" s="5" t="n"/>
      <c r="W194" s="5" t="n"/>
      <c r="X194" s="6" t="n"/>
      <c r="Y194" s="66" t="n"/>
      <c r="Z194" s="5" t="n"/>
      <c r="AA194" s="5" t="n"/>
      <c r="AB194" s="5" t="n"/>
      <c r="AC194" s="5" t="n"/>
      <c r="AD194" s="6" t="n"/>
      <c r="AE194" s="67" t="n"/>
      <c r="AF194" s="6" t="n"/>
      <c r="AG194" s="67" t="n"/>
      <c r="AH194" s="6" t="n"/>
      <c r="AI194" s="67" t="n"/>
      <c r="AJ194" s="6" t="n"/>
      <c r="AK194" s="67" t="n"/>
      <c r="AL194" s="6" t="n"/>
      <c r="AM194" s="67" t="n"/>
      <c r="AN194" s="5" t="n"/>
      <c r="AO194" s="6" t="n"/>
      <c r="AP194" s="67" t="n"/>
      <c r="AQ194" s="6" t="n"/>
      <c r="AR194" s="66" t="n"/>
      <c r="AS194" s="5" t="n"/>
      <c r="AT194" s="6" t="n"/>
      <c r="AU194" s="67" t="n"/>
      <c r="AV194" s="6" t="n"/>
      <c r="AW194" s="67" t="n"/>
      <c r="AX194" s="6" t="n"/>
      <c r="AY194" s="67" t="n"/>
      <c r="AZ194" s="6" t="n"/>
      <c r="BA194" s="67" t="n"/>
      <c r="BB194" s="5" t="n"/>
      <c r="BC194" s="6" t="n"/>
      <c r="BD194" s="67" t="n"/>
      <c r="BE194" s="6" t="n"/>
      <c r="BF194" s="66" t="n"/>
      <c r="BG194" s="5" t="n"/>
      <c r="BH194" s="6" t="n"/>
      <c r="BI194" s="68" t="n"/>
      <c r="BJ194" s="5" t="n"/>
      <c r="BK194" s="42" t="n"/>
    </row>
    <row r="195" ht="20" customHeight="1">
      <c r="A195" s="61" t="n"/>
      <c r="B195" s="6" t="n"/>
      <c r="C195" s="62" t="n"/>
      <c r="D195" s="5" t="n"/>
      <c r="E195" s="5" t="n"/>
      <c r="F195" s="6" t="n"/>
      <c r="G195" s="62" t="n"/>
      <c r="H195" s="5" t="n"/>
      <c r="I195" s="6" t="n"/>
      <c r="J195" s="62" t="n"/>
      <c r="K195" s="5" t="n"/>
      <c r="L195" s="6" t="n"/>
      <c r="M195" s="62" t="n"/>
      <c r="N195" s="5" t="n"/>
      <c r="O195" s="5" t="n"/>
      <c r="P195" s="5" t="n"/>
      <c r="Q195" s="6" t="n"/>
      <c r="R195" s="62" t="n"/>
      <c r="S195" s="5" t="n"/>
      <c r="T195" s="5" t="n"/>
      <c r="U195" s="5" t="n"/>
      <c r="V195" s="5" t="n"/>
      <c r="W195" s="5" t="n"/>
      <c r="X195" s="6" t="n"/>
      <c r="Y195" s="62" t="n"/>
      <c r="Z195" s="5" t="n"/>
      <c r="AA195" s="5" t="n"/>
      <c r="AB195" s="5" t="n"/>
      <c r="AC195" s="5" t="n"/>
      <c r="AD195" s="6" t="n"/>
      <c r="AE195" s="63" t="n"/>
      <c r="AF195" s="6" t="n"/>
      <c r="AG195" s="63" t="n"/>
      <c r="AH195" s="6" t="n"/>
      <c r="AI195" s="63" t="n"/>
      <c r="AJ195" s="6" t="n"/>
      <c r="AK195" s="63" t="n"/>
      <c r="AL195" s="6" t="n"/>
      <c r="AM195" s="63" t="n"/>
      <c r="AN195" s="5" t="n"/>
      <c r="AO195" s="6" t="n"/>
      <c r="AP195" s="63" t="n"/>
      <c r="AQ195" s="6" t="n"/>
      <c r="AR195" s="62" t="n"/>
      <c r="AS195" s="5" t="n"/>
      <c r="AT195" s="6" t="n"/>
      <c r="AU195" s="63" t="n"/>
      <c r="AV195" s="6" t="n"/>
      <c r="AW195" s="63" t="n"/>
      <c r="AX195" s="6" t="n"/>
      <c r="AY195" s="63" t="n"/>
      <c r="AZ195" s="6" t="n"/>
      <c r="BA195" s="63" t="n"/>
      <c r="BB195" s="5" t="n"/>
      <c r="BC195" s="6" t="n"/>
      <c r="BD195" s="63" t="n"/>
      <c r="BE195" s="6" t="n"/>
      <c r="BF195" s="62" t="n"/>
      <c r="BG195" s="5" t="n"/>
      <c r="BH195" s="6" t="n"/>
      <c r="BI195" s="64" t="n"/>
      <c r="BJ195" s="5" t="n"/>
      <c r="BK195" s="42" t="n"/>
    </row>
    <row r="196" ht="20" customHeight="1">
      <c r="A196" s="65" t="n"/>
      <c r="B196" s="6" t="n"/>
      <c r="C196" s="66" t="n"/>
      <c r="D196" s="5" t="n"/>
      <c r="E196" s="5" t="n"/>
      <c r="F196" s="6" t="n"/>
      <c r="G196" s="66" t="n"/>
      <c r="H196" s="5" t="n"/>
      <c r="I196" s="6" t="n"/>
      <c r="J196" s="66" t="n"/>
      <c r="K196" s="5" t="n"/>
      <c r="L196" s="6" t="n"/>
      <c r="M196" s="66" t="n"/>
      <c r="N196" s="5" t="n"/>
      <c r="O196" s="5" t="n"/>
      <c r="P196" s="5" t="n"/>
      <c r="Q196" s="6" t="n"/>
      <c r="R196" s="66" t="n"/>
      <c r="S196" s="5" t="n"/>
      <c r="T196" s="5" t="n"/>
      <c r="U196" s="5" t="n"/>
      <c r="V196" s="5" t="n"/>
      <c r="W196" s="5" t="n"/>
      <c r="X196" s="6" t="n"/>
      <c r="Y196" s="66" t="n"/>
      <c r="Z196" s="5" t="n"/>
      <c r="AA196" s="5" t="n"/>
      <c r="AB196" s="5" t="n"/>
      <c r="AC196" s="5" t="n"/>
      <c r="AD196" s="6" t="n"/>
      <c r="AE196" s="67" t="n"/>
      <c r="AF196" s="6" t="n"/>
      <c r="AG196" s="67" t="n"/>
      <c r="AH196" s="6" t="n"/>
      <c r="AI196" s="67" t="n"/>
      <c r="AJ196" s="6" t="n"/>
      <c r="AK196" s="67" t="n"/>
      <c r="AL196" s="6" t="n"/>
      <c r="AM196" s="67" t="n"/>
      <c r="AN196" s="5" t="n"/>
      <c r="AO196" s="6" t="n"/>
      <c r="AP196" s="67" t="n"/>
      <c r="AQ196" s="6" t="n"/>
      <c r="AR196" s="66" t="n"/>
      <c r="AS196" s="5" t="n"/>
      <c r="AT196" s="6" t="n"/>
      <c r="AU196" s="67" t="n"/>
      <c r="AV196" s="6" t="n"/>
      <c r="AW196" s="67" t="n"/>
      <c r="AX196" s="6" t="n"/>
      <c r="AY196" s="67" t="n"/>
      <c r="AZ196" s="6" t="n"/>
      <c r="BA196" s="67" t="n"/>
      <c r="BB196" s="5" t="n"/>
      <c r="BC196" s="6" t="n"/>
      <c r="BD196" s="67" t="n"/>
      <c r="BE196" s="6" t="n"/>
      <c r="BF196" s="66" t="n"/>
      <c r="BG196" s="5" t="n"/>
      <c r="BH196" s="6" t="n"/>
      <c r="BI196" s="68" t="n"/>
      <c r="BJ196" s="5" t="n"/>
      <c r="BK196" s="42" t="n"/>
    </row>
    <row r="197" ht="20" customHeight="1">
      <c r="A197" s="61" t="n"/>
      <c r="B197" s="6" t="n"/>
      <c r="C197" s="62" t="n"/>
      <c r="D197" s="5" t="n"/>
      <c r="E197" s="5" t="n"/>
      <c r="F197" s="6" t="n"/>
      <c r="G197" s="62" t="n"/>
      <c r="H197" s="5" t="n"/>
      <c r="I197" s="6" t="n"/>
      <c r="J197" s="62" t="n"/>
      <c r="K197" s="5" t="n"/>
      <c r="L197" s="6" t="n"/>
      <c r="M197" s="62" t="n"/>
      <c r="N197" s="5" t="n"/>
      <c r="O197" s="5" t="n"/>
      <c r="P197" s="5" t="n"/>
      <c r="Q197" s="6" t="n"/>
      <c r="R197" s="62" t="n"/>
      <c r="S197" s="5" t="n"/>
      <c r="T197" s="5" t="n"/>
      <c r="U197" s="5" t="n"/>
      <c r="V197" s="5" t="n"/>
      <c r="W197" s="5" t="n"/>
      <c r="X197" s="6" t="n"/>
      <c r="Y197" s="62" t="n"/>
      <c r="Z197" s="5" t="n"/>
      <c r="AA197" s="5" t="n"/>
      <c r="AB197" s="5" t="n"/>
      <c r="AC197" s="5" t="n"/>
      <c r="AD197" s="6" t="n"/>
      <c r="AE197" s="63" t="n"/>
      <c r="AF197" s="6" t="n"/>
      <c r="AG197" s="63" t="n"/>
      <c r="AH197" s="6" t="n"/>
      <c r="AI197" s="63" t="n"/>
      <c r="AJ197" s="6" t="n"/>
      <c r="AK197" s="63" t="n"/>
      <c r="AL197" s="6" t="n"/>
      <c r="AM197" s="63" t="n"/>
      <c r="AN197" s="5" t="n"/>
      <c r="AO197" s="6" t="n"/>
      <c r="AP197" s="63" t="n"/>
      <c r="AQ197" s="6" t="n"/>
      <c r="AR197" s="62" t="n"/>
      <c r="AS197" s="5" t="n"/>
      <c r="AT197" s="6" t="n"/>
      <c r="AU197" s="63" t="n"/>
      <c r="AV197" s="6" t="n"/>
      <c r="AW197" s="63" t="n"/>
      <c r="AX197" s="6" t="n"/>
      <c r="AY197" s="63" t="n"/>
      <c r="AZ197" s="6" t="n"/>
      <c r="BA197" s="63" t="n"/>
      <c r="BB197" s="5" t="n"/>
      <c r="BC197" s="6" t="n"/>
      <c r="BD197" s="63" t="n"/>
      <c r="BE197" s="6" t="n"/>
      <c r="BF197" s="62" t="n"/>
      <c r="BG197" s="5" t="n"/>
      <c r="BH197" s="6" t="n"/>
      <c r="BI197" s="64" t="n"/>
      <c r="BJ197" s="5" t="n"/>
      <c r="BK197" s="42" t="n"/>
    </row>
    <row r="198" ht="20" customHeight="1">
      <c r="A198" s="65" t="n"/>
      <c r="B198" s="6" t="n"/>
      <c r="C198" s="66" t="n"/>
      <c r="D198" s="5" t="n"/>
      <c r="E198" s="5" t="n"/>
      <c r="F198" s="6" t="n"/>
      <c r="G198" s="66" t="n"/>
      <c r="H198" s="5" t="n"/>
      <c r="I198" s="6" t="n"/>
      <c r="J198" s="66" t="n"/>
      <c r="K198" s="5" t="n"/>
      <c r="L198" s="6" t="n"/>
      <c r="M198" s="66" t="n"/>
      <c r="N198" s="5" t="n"/>
      <c r="O198" s="5" t="n"/>
      <c r="P198" s="5" t="n"/>
      <c r="Q198" s="6" t="n"/>
      <c r="R198" s="66" t="n"/>
      <c r="S198" s="5" t="n"/>
      <c r="T198" s="5" t="n"/>
      <c r="U198" s="5" t="n"/>
      <c r="V198" s="5" t="n"/>
      <c r="W198" s="5" t="n"/>
      <c r="X198" s="6" t="n"/>
      <c r="Y198" s="66" t="n"/>
      <c r="Z198" s="5" t="n"/>
      <c r="AA198" s="5" t="n"/>
      <c r="AB198" s="5" t="n"/>
      <c r="AC198" s="5" t="n"/>
      <c r="AD198" s="6" t="n"/>
      <c r="AE198" s="67" t="n"/>
      <c r="AF198" s="6" t="n"/>
      <c r="AG198" s="67" t="n"/>
      <c r="AH198" s="6" t="n"/>
      <c r="AI198" s="67" t="n"/>
      <c r="AJ198" s="6" t="n"/>
      <c r="AK198" s="67" t="n"/>
      <c r="AL198" s="6" t="n"/>
      <c r="AM198" s="67" t="n"/>
      <c r="AN198" s="5" t="n"/>
      <c r="AO198" s="6" t="n"/>
      <c r="AP198" s="67" t="n"/>
      <c r="AQ198" s="6" t="n"/>
      <c r="AR198" s="66" t="n"/>
      <c r="AS198" s="5" t="n"/>
      <c r="AT198" s="6" t="n"/>
      <c r="AU198" s="67" t="n"/>
      <c r="AV198" s="6" t="n"/>
      <c r="AW198" s="67" t="n"/>
      <c r="AX198" s="6" t="n"/>
      <c r="AY198" s="67" t="n"/>
      <c r="AZ198" s="6" t="n"/>
      <c r="BA198" s="67" t="n"/>
      <c r="BB198" s="5" t="n"/>
      <c r="BC198" s="6" t="n"/>
      <c r="BD198" s="67" t="n"/>
      <c r="BE198" s="6" t="n"/>
      <c r="BF198" s="66" t="n"/>
      <c r="BG198" s="5" t="n"/>
      <c r="BH198" s="6" t="n"/>
      <c r="BI198" s="68" t="n"/>
      <c r="BJ198" s="5" t="n"/>
      <c r="BK198" s="42" t="n"/>
    </row>
    <row r="199" ht="20" customHeight="1">
      <c r="A199" s="61" t="n"/>
      <c r="B199" s="6" t="n"/>
      <c r="C199" s="62" t="n"/>
      <c r="D199" s="5" t="n"/>
      <c r="E199" s="5" t="n"/>
      <c r="F199" s="6" t="n"/>
      <c r="G199" s="62" t="n"/>
      <c r="H199" s="5" t="n"/>
      <c r="I199" s="6" t="n"/>
      <c r="J199" s="62" t="n"/>
      <c r="K199" s="5" t="n"/>
      <c r="L199" s="6" t="n"/>
      <c r="M199" s="62" t="n"/>
      <c r="N199" s="5" t="n"/>
      <c r="O199" s="5" t="n"/>
      <c r="P199" s="5" t="n"/>
      <c r="Q199" s="6" t="n"/>
      <c r="R199" s="62" t="n"/>
      <c r="S199" s="5" t="n"/>
      <c r="T199" s="5" t="n"/>
      <c r="U199" s="5" t="n"/>
      <c r="V199" s="5" t="n"/>
      <c r="W199" s="5" t="n"/>
      <c r="X199" s="6" t="n"/>
      <c r="Y199" s="62" t="n"/>
      <c r="Z199" s="5" t="n"/>
      <c r="AA199" s="5" t="n"/>
      <c r="AB199" s="5" t="n"/>
      <c r="AC199" s="5" t="n"/>
      <c r="AD199" s="6" t="n"/>
      <c r="AE199" s="63" t="n"/>
      <c r="AF199" s="6" t="n"/>
      <c r="AG199" s="63" t="n"/>
      <c r="AH199" s="6" t="n"/>
      <c r="AI199" s="63" t="n"/>
      <c r="AJ199" s="6" t="n"/>
      <c r="AK199" s="63" t="n"/>
      <c r="AL199" s="6" t="n"/>
      <c r="AM199" s="63" t="n"/>
      <c r="AN199" s="5" t="n"/>
      <c r="AO199" s="6" t="n"/>
      <c r="AP199" s="63" t="n"/>
      <c r="AQ199" s="6" t="n"/>
      <c r="AR199" s="62" t="n"/>
      <c r="AS199" s="5" t="n"/>
      <c r="AT199" s="6" t="n"/>
      <c r="AU199" s="63" t="n"/>
      <c r="AV199" s="6" t="n"/>
      <c r="AW199" s="63" t="n"/>
      <c r="AX199" s="6" t="n"/>
      <c r="AY199" s="63" t="n"/>
      <c r="AZ199" s="6" t="n"/>
      <c r="BA199" s="63" t="n"/>
      <c r="BB199" s="5" t="n"/>
      <c r="BC199" s="6" t="n"/>
      <c r="BD199" s="63" t="n"/>
      <c r="BE199" s="6" t="n"/>
      <c r="BF199" s="62" t="n"/>
      <c r="BG199" s="5" t="n"/>
      <c r="BH199" s="6" t="n"/>
      <c r="BI199" s="64" t="n"/>
      <c r="BJ199" s="5" t="n"/>
      <c r="BK199" s="42" t="n"/>
    </row>
    <row r="200" ht="20" customHeight="1">
      <c r="A200" s="69" t="n"/>
      <c r="B200" s="48" t="n"/>
      <c r="C200" s="70" t="n"/>
      <c r="D200" s="47" t="n"/>
      <c r="E200" s="47" t="n"/>
      <c r="F200" s="48" t="n"/>
      <c r="G200" s="70" t="n"/>
      <c r="H200" s="47" t="n"/>
      <c r="I200" s="48" t="n"/>
      <c r="J200" s="70" t="n"/>
      <c r="K200" s="47" t="n"/>
      <c r="L200" s="48" t="n"/>
      <c r="M200" s="70" t="n"/>
      <c r="N200" s="47" t="n"/>
      <c r="O200" s="47" t="n"/>
      <c r="P200" s="47" t="n"/>
      <c r="Q200" s="48" t="n"/>
      <c r="R200" s="70" t="n"/>
      <c r="S200" s="47" t="n"/>
      <c r="T200" s="47" t="n"/>
      <c r="U200" s="47" t="n"/>
      <c r="V200" s="47" t="n"/>
      <c r="W200" s="47" t="n"/>
      <c r="X200" s="48" t="n"/>
      <c r="Y200" s="70" t="n"/>
      <c r="Z200" s="47" t="n"/>
      <c r="AA200" s="47" t="n"/>
      <c r="AB200" s="47" t="n"/>
      <c r="AC200" s="47" t="n"/>
      <c r="AD200" s="48" t="n"/>
      <c r="AE200" s="71" t="n"/>
      <c r="AF200" s="48" t="n"/>
      <c r="AG200" s="71" t="n"/>
      <c r="AH200" s="48" t="n"/>
      <c r="AI200" s="71" t="n"/>
      <c r="AJ200" s="48" t="n"/>
      <c r="AK200" s="71" t="n"/>
      <c r="AL200" s="48" t="n"/>
      <c r="AM200" s="71" t="n"/>
      <c r="AN200" s="47" t="n"/>
      <c r="AO200" s="48" t="n"/>
      <c r="AP200" s="71" t="n"/>
      <c r="AQ200" s="48" t="n"/>
      <c r="AR200" s="70" t="n"/>
      <c r="AS200" s="47" t="n"/>
      <c r="AT200" s="48" t="n"/>
      <c r="AU200" s="71" t="n"/>
      <c r="AV200" s="48" t="n"/>
      <c r="AW200" s="71" t="n"/>
      <c r="AX200" s="48" t="n"/>
      <c r="AY200" s="71" t="n"/>
      <c r="AZ200" s="48" t="n"/>
      <c r="BA200" s="71" t="n"/>
      <c r="BB200" s="47" t="n"/>
      <c r="BC200" s="48" t="n"/>
      <c r="BD200" s="71" t="n"/>
      <c r="BE200" s="48" t="n"/>
      <c r="BF200" s="70" t="n"/>
      <c r="BG200" s="47" t="n"/>
      <c r="BH200" s="48" t="n"/>
      <c r="BI200" s="72" t="n"/>
      <c r="BJ200" s="47" t="n"/>
      <c r="BK200" s="51" t="n"/>
    </row>
  </sheetData>
  <mergeCells count="4145">
    <mergeCell ref="M34:Q34"/>
    <mergeCell ref="BF186:BH186"/>
    <mergeCell ref="G112:I112"/>
    <mergeCell ref="J151:L151"/>
    <mergeCell ref="AK185:AL185"/>
    <mergeCell ref="AI87:AJ87"/>
    <mergeCell ref="AU182:AV182"/>
    <mergeCell ref="AG54:AH54"/>
    <mergeCell ref="BF57:BH57"/>
    <mergeCell ref="AW98:AX98"/>
    <mergeCell ref="AK62:AL62"/>
    <mergeCell ref="AK193:AL193"/>
    <mergeCell ref="AR16:AT16"/>
    <mergeCell ref="BF23:BH23"/>
    <mergeCell ref="AP110:AQ110"/>
    <mergeCell ref="R18:X18"/>
    <mergeCell ref="AG56:AH56"/>
    <mergeCell ref="AE105:AF105"/>
    <mergeCell ref="AR174:AT174"/>
    <mergeCell ref="BF181:BH181"/>
    <mergeCell ref="AM128:AO128"/>
    <mergeCell ref="C62:F62"/>
    <mergeCell ref="AU177:AV177"/>
    <mergeCell ref="AR45:AT45"/>
    <mergeCell ref="J50:L50"/>
    <mergeCell ref="AI145:AJ145"/>
    <mergeCell ref="AR17:AT17"/>
    <mergeCell ref="AR11:AT11"/>
    <mergeCell ref="G16:I16"/>
    <mergeCell ref="C187:F187"/>
    <mergeCell ref="R19:X19"/>
    <mergeCell ref="C64:F64"/>
    <mergeCell ref="AR47:AT47"/>
    <mergeCell ref="BA63:BC63"/>
    <mergeCell ref="AI138:AJ138"/>
    <mergeCell ref="Y32:AD32"/>
    <mergeCell ref="J52:L52"/>
    <mergeCell ref="AY35:AZ35"/>
    <mergeCell ref="G9:I9"/>
    <mergeCell ref="AR42:AT42"/>
    <mergeCell ref="BA71:BC71"/>
    <mergeCell ref="C93:F93"/>
    <mergeCell ref="BI58:BK58"/>
    <mergeCell ref="BD127:BE127"/>
    <mergeCell ref="BD133:BE133"/>
    <mergeCell ref="AP136:AQ136"/>
    <mergeCell ref="AE34:AF34"/>
    <mergeCell ref="AE9:AF9"/>
    <mergeCell ref="J81:L81"/>
    <mergeCell ref="AI140:AJ140"/>
    <mergeCell ref="G36:I36"/>
    <mergeCell ref="AU53:AV53"/>
    <mergeCell ref="M91:Q91"/>
    <mergeCell ref="AW109:AX109"/>
    <mergeCell ref="BF199:BH199"/>
    <mergeCell ref="AP7:AQ7"/>
    <mergeCell ref="AR71:AT71"/>
    <mergeCell ref="AY30:AZ30"/>
    <mergeCell ref="AE36:AF36"/>
    <mergeCell ref="AE11:AF11"/>
    <mergeCell ref="AR37:AT37"/>
    <mergeCell ref="M93:Q93"/>
    <mergeCell ref="AK75:AL75"/>
    <mergeCell ref="AR73:AT73"/>
    <mergeCell ref="AY86:AZ86"/>
    <mergeCell ref="AG100:AH100"/>
    <mergeCell ref="AG94:AH94"/>
    <mergeCell ref="AU107:AV107"/>
    <mergeCell ref="Y50:AD50"/>
    <mergeCell ref="G69:I69"/>
    <mergeCell ref="J70:L70"/>
    <mergeCell ref="R72:X72"/>
    <mergeCell ref="AE31:AF31"/>
    <mergeCell ref="BD153:BE153"/>
    <mergeCell ref="AI166:AJ166"/>
    <mergeCell ref="Y60:AD60"/>
    <mergeCell ref="Y16:AD16"/>
    <mergeCell ref="C111:F111"/>
    <mergeCell ref="J63:L63"/>
    <mergeCell ref="AI158:AJ158"/>
    <mergeCell ref="Y52:AD52"/>
    <mergeCell ref="M20:Q20"/>
    <mergeCell ref="Y174:AD174"/>
    <mergeCell ref="C83:F83"/>
    <mergeCell ref="AI168:AJ168"/>
    <mergeCell ref="AY81:AZ81"/>
    <mergeCell ref="AG95:AH95"/>
    <mergeCell ref="BI80:BK80"/>
    <mergeCell ref="AE62:AF62"/>
    <mergeCell ref="M109:Q109"/>
    <mergeCell ref="Y18:AD18"/>
    <mergeCell ref="Y45:AD45"/>
    <mergeCell ref="G64:I64"/>
    <mergeCell ref="AI160:AJ160"/>
    <mergeCell ref="M22:Q22"/>
    <mergeCell ref="A192:B192"/>
    <mergeCell ref="M75:Q75"/>
    <mergeCell ref="AP60:AQ60"/>
    <mergeCell ref="BF34:BH34"/>
    <mergeCell ref="AM55:AO55"/>
    <mergeCell ref="AG97:AH97"/>
    <mergeCell ref="AE64:AF64"/>
    <mergeCell ref="R88:X88"/>
    <mergeCell ref="AI153:AJ153"/>
    <mergeCell ref="AP149:AQ149"/>
    <mergeCell ref="M15:Q15"/>
    <mergeCell ref="A194:B194"/>
    <mergeCell ref="M104:Q104"/>
    <mergeCell ref="AE57:AF57"/>
    <mergeCell ref="R90:X90"/>
    <mergeCell ref="AW41:AX41"/>
    <mergeCell ref="Y42:AD42"/>
    <mergeCell ref="C137:F137"/>
    <mergeCell ref="AP151:AQ151"/>
    <mergeCell ref="AI184:AJ184"/>
    <mergeCell ref="AM200:AO200"/>
    <mergeCell ref="AM194:AO194"/>
    <mergeCell ref="M106:Q106"/>
    <mergeCell ref="AR117:AT117"/>
    <mergeCell ref="R83:X83"/>
    <mergeCell ref="AG121:AH121"/>
    <mergeCell ref="BF124:BH124"/>
    <mergeCell ref="AW43:AX43"/>
    <mergeCell ref="AY105:AZ105"/>
    <mergeCell ref="Y71:AD71"/>
    <mergeCell ref="C139:F139"/>
    <mergeCell ref="AY99:AZ99"/>
    <mergeCell ref="BI8:BK8"/>
    <mergeCell ref="J127:L127"/>
    <mergeCell ref="G82:I82"/>
    <mergeCell ref="R91:X91"/>
    <mergeCell ref="R85:X85"/>
    <mergeCell ref="A34:B34"/>
    <mergeCell ref="AW36:AX36"/>
    <mergeCell ref="AG123:AH123"/>
    <mergeCell ref="C132:F132"/>
    <mergeCell ref="C138:F138"/>
    <mergeCell ref="Y98:AD98"/>
    <mergeCell ref="Y73:AD73"/>
    <mergeCell ref="M162:Q162"/>
    <mergeCell ref="AY101:AZ101"/>
    <mergeCell ref="AI179:AJ179"/>
    <mergeCell ref="AM195:AO195"/>
    <mergeCell ref="BI10:BK10"/>
    <mergeCell ref="A36:B36"/>
    <mergeCell ref="AP71:AQ71"/>
    <mergeCell ref="AY100:AZ100"/>
    <mergeCell ref="BI99:BK99"/>
    <mergeCell ref="AW67:AX67"/>
    <mergeCell ref="AE75:AF75"/>
    <mergeCell ref="J147:L147"/>
    <mergeCell ref="BI3:BK3"/>
    <mergeCell ref="G83:I83"/>
    <mergeCell ref="BA77:BC77"/>
    <mergeCell ref="AM197:AO197"/>
    <mergeCell ref="AI83:AJ83"/>
    <mergeCell ref="M35:Q35"/>
    <mergeCell ref="M157:Q157"/>
    <mergeCell ref="AP79:AQ79"/>
    <mergeCell ref="AP73:AQ73"/>
    <mergeCell ref="A65:B65"/>
    <mergeCell ref="BA166:BC166"/>
    <mergeCell ref="AW69:AX69"/>
    <mergeCell ref="AW25:AX25"/>
    <mergeCell ref="G110:I110"/>
    <mergeCell ref="AY125:AZ125"/>
    <mergeCell ref="AI85:AJ85"/>
    <mergeCell ref="AG52:AH52"/>
    <mergeCell ref="AY127:AZ127"/>
    <mergeCell ref="R13:X13"/>
    <mergeCell ref="M30:Q30"/>
    <mergeCell ref="AG45:AH45"/>
    <mergeCell ref="BD44:BE44"/>
    <mergeCell ref="AP74:AQ74"/>
    <mergeCell ref="J163:L163"/>
    <mergeCell ref="AE103:AF103"/>
    <mergeCell ref="BI150:BK150"/>
    <mergeCell ref="Y126:AD126"/>
    <mergeCell ref="G12:I12"/>
    <mergeCell ref="R15:X15"/>
    <mergeCell ref="AR18:AT18"/>
    <mergeCell ref="AG47:AH47"/>
    <mergeCell ref="M61:Q61"/>
    <mergeCell ref="AI109:AJ109"/>
    <mergeCell ref="BI21:BK21"/>
    <mergeCell ref="J165:L165"/>
    <mergeCell ref="AG167:AH167"/>
    <mergeCell ref="R104:X104"/>
    <mergeCell ref="BI152:BK152"/>
    <mergeCell ref="J171:L171"/>
    <mergeCell ref="C176:F176"/>
    <mergeCell ref="M175:Q175"/>
    <mergeCell ref="C193:F193"/>
    <mergeCell ref="Y117:AD117"/>
    <mergeCell ref="G136:I136"/>
    <mergeCell ref="BA67:BC67"/>
    <mergeCell ref="BA61:BC61"/>
    <mergeCell ref="AI111:AJ111"/>
    <mergeCell ref="BI23:BK23"/>
    <mergeCell ref="BI145:BK145"/>
    <mergeCell ref="AP101:AQ101"/>
    <mergeCell ref="AK27:AL27"/>
    <mergeCell ref="C178:F178"/>
    <mergeCell ref="G7:I7"/>
    <mergeCell ref="AG192:AH192"/>
    <mergeCell ref="AU18:AV18"/>
    <mergeCell ref="J166:L166"/>
    <mergeCell ref="M56:Q56"/>
    <mergeCell ref="BA96:BC96"/>
    <mergeCell ref="AY26:AZ26"/>
    <mergeCell ref="BA90:BC90"/>
    <mergeCell ref="M176:Q176"/>
    <mergeCell ref="AE7:AF7"/>
    <mergeCell ref="AE129:AF129"/>
    <mergeCell ref="AG63:AH63"/>
    <mergeCell ref="AU51:AV51"/>
    <mergeCell ref="BA62:BC62"/>
    <mergeCell ref="AW107:AX107"/>
    <mergeCell ref="AW82:AX82"/>
    <mergeCell ref="AR69:AT69"/>
    <mergeCell ref="BI18:BK18"/>
    <mergeCell ref="Y144:AD144"/>
    <mergeCell ref="J191:L191"/>
    <mergeCell ref="R33:X33"/>
    <mergeCell ref="AY57:AZ57"/>
    <mergeCell ref="R155:X155"/>
    <mergeCell ref="AR158:AT158"/>
    <mergeCell ref="AG187:AH187"/>
    <mergeCell ref="BD96:BE96"/>
    <mergeCell ref="BF165:BH165"/>
    <mergeCell ref="AY171:AZ171"/>
    <mergeCell ref="AR193:AT193"/>
    <mergeCell ref="AE2:AF2"/>
    <mergeCell ref="AY50:AZ50"/>
    <mergeCell ref="G154:I154"/>
    <mergeCell ref="BI49:BK49"/>
    <mergeCell ref="R157:X157"/>
    <mergeCell ref="AY181:AZ181"/>
    <mergeCell ref="BD98:BE98"/>
    <mergeCell ref="Y145:AD145"/>
    <mergeCell ref="AR64:AT64"/>
    <mergeCell ref="Y139:AD139"/>
    <mergeCell ref="AK45:AL45"/>
    <mergeCell ref="BI163:BK163"/>
    <mergeCell ref="G25:I25"/>
    <mergeCell ref="J192:L192"/>
    <mergeCell ref="R28:X28"/>
    <mergeCell ref="AY52:AZ52"/>
    <mergeCell ref="G183:I183"/>
    <mergeCell ref="BC3:BD3"/>
    <mergeCell ref="G60:I60"/>
    <mergeCell ref="AK11:AL11"/>
    <mergeCell ref="AY44:AZ44"/>
    <mergeCell ref="J194:L194"/>
    <mergeCell ref="G149:I149"/>
    <mergeCell ref="R30:X30"/>
    <mergeCell ref="BA118:BC118"/>
    <mergeCell ref="AI193:AJ193"/>
    <mergeCell ref="G185:I185"/>
    <mergeCell ref="AP145:AQ145"/>
    <mergeCell ref="BF35:BH35"/>
    <mergeCell ref="AW135:AX135"/>
    <mergeCell ref="BI77:BK77"/>
    <mergeCell ref="AE176:AF176"/>
    <mergeCell ref="M100:Q100"/>
    <mergeCell ref="G151:I151"/>
    <mergeCell ref="G178:I178"/>
    <mergeCell ref="AP16:AQ16"/>
    <mergeCell ref="BA109:BC109"/>
    <mergeCell ref="AW12:AX12"/>
    <mergeCell ref="AP147:AQ147"/>
    <mergeCell ref="AE142:AF142"/>
    <mergeCell ref="BA22:BC22"/>
    <mergeCell ref="R175:X175"/>
    <mergeCell ref="AE178:AF178"/>
    <mergeCell ref="AK101:AL101"/>
    <mergeCell ref="AY199:AZ199"/>
    <mergeCell ref="M102:Q102"/>
    <mergeCell ref="AE55:AF55"/>
    <mergeCell ref="AR88:AT88"/>
    <mergeCell ref="R54:X54"/>
    <mergeCell ref="AG117:AH117"/>
    <mergeCell ref="AP18:AQ18"/>
    <mergeCell ref="AR82:AT82"/>
    <mergeCell ref="Y67:AD67"/>
    <mergeCell ref="AI182:AJ182"/>
    <mergeCell ref="AE144:AF144"/>
    <mergeCell ref="AY70:AZ70"/>
    <mergeCell ref="BA134:BC134"/>
    <mergeCell ref="R81:X81"/>
    <mergeCell ref="AW32:AX32"/>
    <mergeCell ref="AW7:AX7"/>
    <mergeCell ref="R56:X56"/>
    <mergeCell ref="AG119:AH119"/>
    <mergeCell ref="AI175:AJ175"/>
    <mergeCell ref="Y69:AD69"/>
    <mergeCell ref="AU88:AV88"/>
    <mergeCell ref="AR83:AT83"/>
    <mergeCell ref="Y158:AD158"/>
    <mergeCell ref="C136:F136"/>
    <mergeCell ref="BA108:BC108"/>
    <mergeCell ref="A7:B7"/>
    <mergeCell ref="AY96:AZ96"/>
    <mergeCell ref="BI95:BK95"/>
    <mergeCell ref="AG148:AH148"/>
    <mergeCell ref="BD170:BE170"/>
    <mergeCell ref="BI89:BK89"/>
    <mergeCell ref="BF25:BH25"/>
    <mergeCell ref="AP173:AQ173"/>
    <mergeCell ref="G79:I79"/>
    <mergeCell ref="J118:L118"/>
    <mergeCell ref="AI177:AJ177"/>
    <mergeCell ref="G73:I73"/>
    <mergeCell ref="AU90:AV90"/>
    <mergeCell ref="M128:Q128"/>
    <mergeCell ref="BI88:BK88"/>
    <mergeCell ref="AM7:AO7"/>
    <mergeCell ref="AP44:AQ44"/>
    <mergeCell ref="AY98:AZ98"/>
    <mergeCell ref="AW65:AX65"/>
    <mergeCell ref="BA162:BC162"/>
    <mergeCell ref="AE73:AF73"/>
    <mergeCell ref="AP158:AQ158"/>
    <mergeCell ref="AR141:AT141"/>
    <mergeCell ref="BI90:BK90"/>
    <mergeCell ref="AW58:AX58"/>
    <mergeCell ref="BA164:BC164"/>
    <mergeCell ref="AM36:AO36"/>
    <mergeCell ref="AY123:AZ123"/>
    <mergeCell ref="AG137:AH137"/>
    <mergeCell ref="AM8:AO8"/>
    <mergeCell ref="BD40:BE40"/>
    <mergeCell ref="Y87:AD87"/>
    <mergeCell ref="AW60:AX60"/>
    <mergeCell ref="AE74:AF74"/>
    <mergeCell ref="AE68:AF68"/>
    <mergeCell ref="BI121:BK121"/>
    <mergeCell ref="AG130:AH130"/>
    <mergeCell ref="AP72:AQ72"/>
    <mergeCell ref="Y89:AD89"/>
    <mergeCell ref="AR136:AT136"/>
    <mergeCell ref="R100:X100"/>
    <mergeCell ref="C120:F120"/>
    <mergeCell ref="AY124:AZ124"/>
    <mergeCell ref="AY118:AZ118"/>
    <mergeCell ref="AG132:AH132"/>
    <mergeCell ref="M146:Q146"/>
    <mergeCell ref="BI148:BK148"/>
    <mergeCell ref="BD41:BE41"/>
    <mergeCell ref="BF105:BH105"/>
    <mergeCell ref="BA188:BC188"/>
    <mergeCell ref="AI48:AJ48"/>
    <mergeCell ref="Y82:AD82"/>
    <mergeCell ref="G101:I101"/>
    <mergeCell ref="AP184:AQ184"/>
    <mergeCell ref="M181:Q181"/>
    <mergeCell ref="AY126:AZ126"/>
    <mergeCell ref="BA190:BC190"/>
    <mergeCell ref="C149:F149"/>
    <mergeCell ref="AU20:AV20"/>
    <mergeCell ref="A45:B45"/>
    <mergeCell ref="AU14:AV14"/>
    <mergeCell ref="BD43:BE43"/>
    <mergeCell ref="BF107:BH107"/>
    <mergeCell ref="M52:Q52"/>
    <mergeCell ref="AK112:AL112"/>
    <mergeCell ref="G92:I92"/>
    <mergeCell ref="BI143:BK143"/>
    <mergeCell ref="AU13:AV13"/>
    <mergeCell ref="R127:X127"/>
    <mergeCell ref="AW78:AX78"/>
    <mergeCell ref="AE92:AF92"/>
    <mergeCell ref="BI20:BK20"/>
    <mergeCell ref="AW200:AX200"/>
    <mergeCell ref="A46:B46"/>
    <mergeCell ref="M174:Q174"/>
    <mergeCell ref="AU15:AV15"/>
    <mergeCell ref="AR154:AT154"/>
    <mergeCell ref="BF161:BH161"/>
    <mergeCell ref="AW80:AX80"/>
    <mergeCell ref="AY142:AZ142"/>
    <mergeCell ref="A105:B105"/>
    <mergeCell ref="Y108:AD108"/>
    <mergeCell ref="AG194:AH194"/>
    <mergeCell ref="R128:X128"/>
    <mergeCell ref="AR156:AT156"/>
    <mergeCell ref="AG160:AH160"/>
    <mergeCell ref="A71:B71"/>
    <mergeCell ref="AW73:AX73"/>
    <mergeCell ref="AE87:AF87"/>
    <mergeCell ref="BI134:BK134"/>
    <mergeCell ref="Y141:AD141"/>
    <mergeCell ref="BI159:BK159"/>
    <mergeCell ref="BD25:BE25"/>
    <mergeCell ref="AK41:AL41"/>
    <mergeCell ref="J188:L188"/>
    <mergeCell ref="M199:Q199"/>
    <mergeCell ref="AY48:AZ48"/>
    <mergeCell ref="BI47:BK47"/>
    <mergeCell ref="AR149:AT149"/>
    <mergeCell ref="C177:F177"/>
    <mergeCell ref="AY137:AZ137"/>
    <mergeCell ref="A100:B100"/>
    <mergeCell ref="Y143:AD143"/>
    <mergeCell ref="BI161:BK161"/>
    <mergeCell ref="J190:L190"/>
    <mergeCell ref="G145:I145"/>
    <mergeCell ref="BI40:BK40"/>
    <mergeCell ref="G120:I120"/>
    <mergeCell ref="BA114:BC114"/>
    <mergeCell ref="M200:Q200"/>
    <mergeCell ref="AR151:AT151"/>
    <mergeCell ref="G181:I181"/>
    <mergeCell ref="M194:Q194"/>
    <mergeCell ref="AP116:AQ116"/>
    <mergeCell ref="AR180:AT180"/>
    <mergeCell ref="AK36:AL36"/>
    <mergeCell ref="A102:B102"/>
    <mergeCell ref="AU33:AV33"/>
    <mergeCell ref="BI48:BK48"/>
    <mergeCell ref="AU155:AV155"/>
    <mergeCell ref="BA122:BC122"/>
    <mergeCell ref="M71:Q71"/>
    <mergeCell ref="G147:I147"/>
    <mergeCell ref="G174:I174"/>
    <mergeCell ref="BI162:BK162"/>
    <mergeCell ref="AE138:AF138"/>
    <mergeCell ref="AE113:AF113"/>
    <mergeCell ref="AY1:BK1"/>
    <mergeCell ref="AY195:AZ195"/>
    <mergeCell ref="AU157:AV157"/>
    <mergeCell ref="AE174:AF174"/>
    <mergeCell ref="BF32:BH32"/>
    <mergeCell ref="AP111:AQ111"/>
    <mergeCell ref="AR175:AT175"/>
    <mergeCell ref="R181:X181"/>
    <mergeCell ref="AY188:AZ188"/>
    <mergeCell ref="AU28:AV28"/>
    <mergeCell ref="BD122:BE122"/>
    <mergeCell ref="BI187:BK187"/>
    <mergeCell ref="J32:L32"/>
    <mergeCell ref="AW3:AX3"/>
    <mergeCell ref="R52:X52"/>
    <mergeCell ref="AR177:AT177"/>
    <mergeCell ref="AK39:AL39"/>
    <mergeCell ref="AI6:AJ6"/>
    <mergeCell ref="BA132:BC132"/>
    <mergeCell ref="AU30:AV30"/>
    <mergeCell ref="R166:X166"/>
    <mergeCell ref="AE169:AF169"/>
    <mergeCell ref="AU84:AV84"/>
    <mergeCell ref="AU59:AV59"/>
    <mergeCell ref="AR79:AT79"/>
    <mergeCell ref="Y154:AD154"/>
    <mergeCell ref="BI189:BK189"/>
    <mergeCell ref="AY190:AZ190"/>
    <mergeCell ref="AG198:AH198"/>
    <mergeCell ref="AK54:AL54"/>
    <mergeCell ref="A120:B120"/>
    <mergeCell ref="G200:I200"/>
    <mergeCell ref="BI188:BK188"/>
    <mergeCell ref="AG75:AH75"/>
    <mergeCell ref="BF21:BH21"/>
    <mergeCell ref="BI182:BK182"/>
    <mergeCell ref="AK64:AL64"/>
    <mergeCell ref="G44:I44"/>
    <mergeCell ref="AU86:AV86"/>
    <mergeCell ref="AE200:AF200"/>
    <mergeCell ref="A113:B113"/>
    <mergeCell ref="M124:Q124"/>
    <mergeCell ref="Y156:AD156"/>
    <mergeCell ref="BI59:BK59"/>
    <mergeCell ref="BA133:BC133"/>
    <mergeCell ref="A32:B32"/>
    <mergeCell ref="G158:I158"/>
    <mergeCell ref="BA127:BC127"/>
    <mergeCell ref="AK72:AL72"/>
    <mergeCell ref="AW150:AX150"/>
    <mergeCell ref="M126:Q126"/>
    <mergeCell ref="AW144:AX144"/>
    <mergeCell ref="AE158:AF158"/>
    <mergeCell ref="AP164:AQ164"/>
    <mergeCell ref="BF16:BH16"/>
    <mergeCell ref="AE37:AF37"/>
    <mergeCell ref="BF52:BH52"/>
    <mergeCell ref="AU81:AV81"/>
    <mergeCell ref="R192:X192"/>
    <mergeCell ref="AE195:AF195"/>
    <mergeCell ref="Y180:AD180"/>
    <mergeCell ref="BF18:BH18"/>
    <mergeCell ref="G191:I191"/>
    <mergeCell ref="R194:X194"/>
    <mergeCell ref="AW145:AX145"/>
    <mergeCell ref="AE197:AF197"/>
    <mergeCell ref="AI17:AJ17"/>
    <mergeCell ref="BD141:BE141"/>
    <mergeCell ref="BD135:BE135"/>
    <mergeCell ref="Y182:AD182"/>
    <mergeCell ref="AR101:AT101"/>
    <mergeCell ref="AK82:AL82"/>
    <mergeCell ref="G184:I184"/>
    <mergeCell ref="J45:L45"/>
    <mergeCell ref="AW147:AX147"/>
    <mergeCell ref="AP180:AQ180"/>
    <mergeCell ref="AI19:AJ19"/>
    <mergeCell ref="AE184:AF184"/>
    <mergeCell ref="BI112:BK112"/>
    <mergeCell ref="AR92:AT92"/>
    <mergeCell ref="BA186:BC186"/>
    <mergeCell ref="A16:B16"/>
    <mergeCell ref="BF103:BH103"/>
    <mergeCell ref="BF78:BH78"/>
    <mergeCell ref="AP182:AQ182"/>
    <mergeCell ref="A174:B174"/>
    <mergeCell ref="AU105:AV105"/>
    <mergeCell ref="AW172:AX172"/>
    <mergeCell ref="AU99:AV99"/>
    <mergeCell ref="BI114:BK114"/>
    <mergeCell ref="M137:Q137"/>
    <mergeCell ref="AM16:AO16"/>
    <mergeCell ref="A18:B18"/>
    <mergeCell ref="BA146:BC146"/>
    <mergeCell ref="AE126:AF126"/>
    <mergeCell ref="AW171:AX171"/>
    <mergeCell ref="AK110:AL110"/>
    <mergeCell ref="AE179:AF179"/>
    <mergeCell ref="AW163:AX163"/>
    <mergeCell ref="M139:Q139"/>
    <mergeCell ref="BF98:BH98"/>
    <mergeCell ref="AR125:AT125"/>
    <mergeCell ref="AM18:AO18"/>
    <mergeCell ref="AW42:AX42"/>
    <mergeCell ref="A47:B47"/>
    <mergeCell ref="AG190:AH190"/>
    <mergeCell ref="AU100:AV100"/>
    <mergeCell ref="C85:F85"/>
    <mergeCell ref="AM17:AO17"/>
    <mergeCell ref="AI37:AJ37"/>
    <mergeCell ref="R124:X124"/>
    <mergeCell ref="BD146:BE146"/>
    <mergeCell ref="R118:X118"/>
    <mergeCell ref="AM53:AO53"/>
    <mergeCell ref="AW44:AX44"/>
    <mergeCell ref="AM47:AO47"/>
    <mergeCell ref="BD65:BE65"/>
    <mergeCell ref="BI130:BK130"/>
    <mergeCell ref="Y106:AD106"/>
    <mergeCell ref="AU125:AV125"/>
    <mergeCell ref="AM19:AO19"/>
    <mergeCell ref="AR120:AT120"/>
    <mergeCell ref="AM46:AO46"/>
    <mergeCell ref="R126:X126"/>
    <mergeCell ref="A44:B44"/>
    <mergeCell ref="AY133:AZ133"/>
    <mergeCell ref="BF131:BH131"/>
    <mergeCell ref="BI132:BK132"/>
    <mergeCell ref="AG185:AH185"/>
    <mergeCell ref="AK136:AL136"/>
    <mergeCell ref="G116:I116"/>
    <mergeCell ref="AU127:AV127"/>
    <mergeCell ref="AP53:AQ53"/>
    <mergeCell ref="AM48:AO48"/>
    <mergeCell ref="BI125:BK125"/>
    <mergeCell ref="AM44:AO44"/>
    <mergeCell ref="A98:B98"/>
    <mergeCell ref="AK7:AL7"/>
    <mergeCell ref="A73:B73"/>
    <mergeCell ref="AY135:AZ135"/>
    <mergeCell ref="BA199:BC199"/>
    <mergeCell ref="G118:I118"/>
    <mergeCell ref="AR178:AT178"/>
    <mergeCell ref="BI127:BK127"/>
    <mergeCell ref="AE109:AF109"/>
    <mergeCell ref="AM73:AO73"/>
    <mergeCell ref="C13:F13"/>
    <mergeCell ref="AE145:AF145"/>
    <mergeCell ref="AM45:AO45"/>
    <mergeCell ref="AR171:AT171"/>
    <mergeCell ref="BA200:BC200"/>
    <mergeCell ref="AE111:AF111"/>
    <mergeCell ref="AU24:AV24"/>
    <mergeCell ref="C15:F15"/>
    <mergeCell ref="AG27:AH27"/>
    <mergeCell ref="AR173:AT173"/>
    <mergeCell ref="AU26:AV26"/>
    <mergeCell ref="R137:X137"/>
    <mergeCell ref="AE140:AF140"/>
    <mergeCell ref="C184:F184"/>
    <mergeCell ref="BA41:BC41"/>
    <mergeCell ref="BD78:BE78"/>
    <mergeCell ref="AI91:AJ91"/>
    <mergeCell ref="AR44:AT44"/>
    <mergeCell ref="BF142:BH142"/>
    <mergeCell ref="C10:F10"/>
    <mergeCell ref="A126:B126"/>
    <mergeCell ref="AU57:AV57"/>
    <mergeCell ref="AY146:AZ146"/>
    <mergeCell ref="A109:B109"/>
    <mergeCell ref="BD80:BE80"/>
    <mergeCell ref="AI93:AJ93"/>
    <mergeCell ref="AW113:AX113"/>
    <mergeCell ref="BF144:BH144"/>
    <mergeCell ref="AK149:AL149"/>
    <mergeCell ref="AU171:AV171"/>
    <mergeCell ref="BI186:BK186"/>
    <mergeCell ref="AU50:AV50"/>
    <mergeCell ref="A117:B117"/>
    <mergeCell ref="BI5:BK6"/>
    <mergeCell ref="A111:B111"/>
    <mergeCell ref="AW115:AX115"/>
    <mergeCell ref="BI57:BK57"/>
    <mergeCell ref="AK151:AL151"/>
    <mergeCell ref="AU52:AV52"/>
    <mergeCell ref="AR191:AT191"/>
    <mergeCell ref="AM117:AO117"/>
    <mergeCell ref="AM92:AO92"/>
    <mergeCell ref="AY3:AZ3"/>
    <mergeCell ref="AY179:AZ179"/>
    <mergeCell ref="A142:B142"/>
    <mergeCell ref="AG38:AH38"/>
    <mergeCell ref="AE193:AF193"/>
    <mergeCell ref="BD131:BE131"/>
    <mergeCell ref="Y178:AD178"/>
    <mergeCell ref="AG46:AH46"/>
    <mergeCell ref="C28:F28"/>
    <mergeCell ref="AU5:BH5"/>
    <mergeCell ref="AG40:AH40"/>
    <mergeCell ref="BA126:BC126"/>
    <mergeCell ref="J41:L41"/>
    <mergeCell ref="J16:L16"/>
    <mergeCell ref="BD8:BE8"/>
    <mergeCell ref="AI15:AJ15"/>
    <mergeCell ref="A137:B137"/>
    <mergeCell ref="BI198:BK198"/>
    <mergeCell ref="C30:F30"/>
    <mergeCell ref="G188:I188"/>
    <mergeCell ref="AI104:AJ104"/>
    <mergeCell ref="BF38:BH38"/>
    <mergeCell ref="G182:I182"/>
    <mergeCell ref="Y5:AD6"/>
    <mergeCell ref="J43:L43"/>
    <mergeCell ref="BF74:BH74"/>
    <mergeCell ref="AK79:AL79"/>
    <mergeCell ref="A145:B145"/>
    <mergeCell ref="A139:B139"/>
    <mergeCell ref="AU70:AV70"/>
    <mergeCell ref="BF163:BH163"/>
    <mergeCell ref="AU192:AV192"/>
    <mergeCell ref="BF67:BH67"/>
    <mergeCell ref="BI199:BK199"/>
    <mergeCell ref="AK81:AL81"/>
    <mergeCell ref="AM145:AO145"/>
    <mergeCell ref="AE175:AF175"/>
    <mergeCell ref="R7:X7"/>
    <mergeCell ref="AU194:AV194"/>
    <mergeCell ref="J67:L67"/>
    <mergeCell ref="BF69:BH69"/>
    <mergeCell ref="BI70:BK70"/>
    <mergeCell ref="BD149:BE149"/>
    <mergeCell ref="AW169:AX169"/>
    <mergeCell ref="AY16:AZ16"/>
    <mergeCell ref="AI33:AJ33"/>
    <mergeCell ref="J69:L69"/>
    <mergeCell ref="AM140:AO140"/>
    <mergeCell ref="BD150:BE150"/>
    <mergeCell ref="C110:F110"/>
    <mergeCell ref="AY18:AZ18"/>
    <mergeCell ref="BD144:BE144"/>
    <mergeCell ref="AI157:AJ157"/>
    <mergeCell ref="Y51:AD51"/>
    <mergeCell ref="Y191:AD191"/>
    <mergeCell ref="J98:L98"/>
    <mergeCell ref="G53:I53"/>
    <mergeCell ref="AI34:AJ34"/>
    <mergeCell ref="AI28:AJ28"/>
    <mergeCell ref="AU123:AV123"/>
    <mergeCell ref="AP24:AQ24"/>
    <mergeCell ref="BA170:BC170"/>
    <mergeCell ref="A69:B69"/>
    <mergeCell ref="BF87:BH87"/>
    <mergeCell ref="AI30:AJ30"/>
    <mergeCell ref="AK92:AL92"/>
    <mergeCell ref="AP51:AQ51"/>
    <mergeCell ref="AP26:AQ26"/>
    <mergeCell ref="A183:B183"/>
    <mergeCell ref="AW187:AX187"/>
    <mergeCell ref="BA172:BC172"/>
    <mergeCell ref="A193:B193"/>
    <mergeCell ref="AU124:AV124"/>
    <mergeCell ref="BF89:BH89"/>
    <mergeCell ref="AU118:AV118"/>
    <mergeCell ref="AW180:AX180"/>
    <mergeCell ref="AK94:AL94"/>
    <mergeCell ref="AM158:AO158"/>
    <mergeCell ref="Y33:AD33"/>
    <mergeCell ref="C128:F128"/>
    <mergeCell ref="AW182:AX182"/>
    <mergeCell ref="AI54:AJ54"/>
    <mergeCell ref="AM160:AO160"/>
    <mergeCell ref="BD178:BE178"/>
    <mergeCell ref="C100:F100"/>
    <mergeCell ref="BD172:BE172"/>
    <mergeCell ref="AE1:AL1"/>
    <mergeCell ref="C94:F94"/>
    <mergeCell ref="AG112:AH112"/>
    <mergeCell ref="J82:L82"/>
    <mergeCell ref="BA12:BC12"/>
    <mergeCell ref="BD49:BE49"/>
    <mergeCell ref="AI62:AJ62"/>
    <mergeCell ref="BF113:BH113"/>
    <mergeCell ref="AI56:AJ56"/>
    <mergeCell ref="AP77:AQ77"/>
    <mergeCell ref="AM72:AO72"/>
    <mergeCell ref="C129:F129"/>
    <mergeCell ref="AU134:AV134"/>
    <mergeCell ref="BD163:BE163"/>
    <mergeCell ref="AI176:AJ176"/>
    <mergeCell ref="M32:Q32"/>
    <mergeCell ref="BF140:BH140"/>
    <mergeCell ref="BF115:BH115"/>
    <mergeCell ref="C95:F95"/>
    <mergeCell ref="AK145:AL145"/>
    <mergeCell ref="AK120:AL120"/>
    <mergeCell ref="AU142:AV142"/>
    <mergeCell ref="AP37:AQ37"/>
    <mergeCell ref="AM59:AO59"/>
    <mergeCell ref="A82:B82"/>
    <mergeCell ref="BA43:BC43"/>
    <mergeCell ref="AK147:AL147"/>
    <mergeCell ref="BF141:BH141"/>
    <mergeCell ref="AR13:AT13"/>
    <mergeCell ref="AM88:AO88"/>
    <mergeCell ref="AM82:AO82"/>
    <mergeCell ref="AU137:AV137"/>
    <mergeCell ref="AG9:AH9"/>
    <mergeCell ref="AM54:AO54"/>
    <mergeCell ref="BF143:BH143"/>
    <mergeCell ref="AR15:AT15"/>
    <mergeCell ref="AM90:AO90"/>
    <mergeCell ref="AG36:AH36"/>
    <mergeCell ref="J12:L12"/>
    <mergeCell ref="BD191:BE191"/>
    <mergeCell ref="AM83:AO83"/>
    <mergeCell ref="M16:Q16"/>
    <mergeCell ref="BF168:BH168"/>
    <mergeCell ref="AK173:AL173"/>
    <mergeCell ref="BA25:BC25"/>
    <mergeCell ref="AI100:AJ100"/>
    <mergeCell ref="AP90:AQ90"/>
    <mergeCell ref="AM85:AO85"/>
    <mergeCell ref="A141:B141"/>
    <mergeCell ref="BI22:BK22"/>
    <mergeCell ref="M18:Q18"/>
    <mergeCell ref="AK44:AL44"/>
    <mergeCell ref="M45:Q45"/>
    <mergeCell ref="A135:B135"/>
    <mergeCell ref="C55:F55"/>
    <mergeCell ref="AI102:AJ102"/>
    <mergeCell ref="AE151:AF151"/>
    <mergeCell ref="BF153:BH153"/>
    <mergeCell ref="BF159:BH159"/>
    <mergeCell ref="AK158:AL158"/>
    <mergeCell ref="AU163:AV163"/>
    <mergeCell ref="AU188:AV188"/>
    <mergeCell ref="M17:Q17"/>
    <mergeCell ref="AS3:AT3"/>
    <mergeCell ref="AG39:AH39"/>
    <mergeCell ref="M47:Q47"/>
    <mergeCell ref="AE182:AF182"/>
    <mergeCell ref="AU190:AV190"/>
    <mergeCell ref="AY46:AZ46"/>
    <mergeCell ref="M19:Q19"/>
    <mergeCell ref="AM143:AO143"/>
    <mergeCell ref="AU61:AV61"/>
    <mergeCell ref="BF154:BH154"/>
    <mergeCell ref="R32:X32"/>
    <mergeCell ref="C52:F52"/>
    <mergeCell ref="AY12:AZ12"/>
    <mergeCell ref="AG64:AH64"/>
    <mergeCell ref="BD113:BE113"/>
    <mergeCell ref="J182:L182"/>
    <mergeCell ref="Y20:AD20"/>
    <mergeCell ref="BI38:BK38"/>
    <mergeCell ref="Y14:AD14"/>
    <mergeCell ref="AM136:AO136"/>
    <mergeCell ref="AW125:AX125"/>
    <mergeCell ref="M44:Q44"/>
    <mergeCell ref="AE177:AF177"/>
    <mergeCell ref="C81:F81"/>
    <mergeCell ref="BD115:BE115"/>
    <mergeCell ref="AY41:AZ41"/>
    <mergeCell ref="C37:F37"/>
    <mergeCell ref="Y22:AD22"/>
    <mergeCell ref="AI128:AJ128"/>
    <mergeCell ref="AK184:AL184"/>
    <mergeCell ref="G24:I24"/>
    <mergeCell ref="J25:L25"/>
    <mergeCell ref="AY13:AZ13"/>
    <mergeCell ref="J183:L183"/>
    <mergeCell ref="AP20:AQ20"/>
    <mergeCell ref="AY43:AZ43"/>
    <mergeCell ref="BA107:BC107"/>
    <mergeCell ref="AK192:AL192"/>
    <mergeCell ref="AP109:AQ109"/>
    <mergeCell ref="G26:I26"/>
    <mergeCell ref="A154:B154"/>
    <mergeCell ref="AP22:AQ22"/>
    <mergeCell ref="AE17:AF17"/>
    <mergeCell ref="BD143:BE143"/>
    <mergeCell ref="AP15:AQ15"/>
    <mergeCell ref="AM154:AO154"/>
    <mergeCell ref="R16:X16"/>
    <mergeCell ref="AE19:AF19"/>
    <mergeCell ref="AY67:AZ67"/>
    <mergeCell ref="C63:F63"/>
    <mergeCell ref="BG2:BH2"/>
    <mergeCell ref="R174:X174"/>
    <mergeCell ref="AR81:AT81"/>
    <mergeCell ref="AM156:AO156"/>
    <mergeCell ref="G42:I42"/>
    <mergeCell ref="BD168:BE168"/>
    <mergeCell ref="AI181:AJ181"/>
    <mergeCell ref="R45:X45"/>
    <mergeCell ref="AG83:AH83"/>
    <mergeCell ref="AY25:AZ25"/>
    <mergeCell ref="J84:L84"/>
    <mergeCell ref="Y58:AD58"/>
    <mergeCell ref="BF80:BH80"/>
    <mergeCell ref="AM155:AO155"/>
    <mergeCell ref="BA8:BC8"/>
    <mergeCell ref="AI52:AJ52"/>
    <mergeCell ref="AG110:AH110"/>
    <mergeCell ref="R47:X47"/>
    <mergeCell ref="AP162:AQ162"/>
    <mergeCell ref="Y35:AD35"/>
    <mergeCell ref="J80:L80"/>
    <mergeCell ref="J107:L107"/>
    <mergeCell ref="BA10:BC10"/>
    <mergeCell ref="BF111:BH111"/>
    <mergeCell ref="AM151:AO151"/>
    <mergeCell ref="G37:I37"/>
    <mergeCell ref="BD169:BE169"/>
    <mergeCell ref="AK116:AL116"/>
    <mergeCell ref="AM180:AO180"/>
    <mergeCell ref="M117:Q117"/>
    <mergeCell ref="A182:B182"/>
    <mergeCell ref="J79:L79"/>
    <mergeCell ref="A5:B6"/>
    <mergeCell ref="AP33:AQ33"/>
    <mergeCell ref="AP155:AQ155"/>
    <mergeCell ref="AI53:AJ53"/>
    <mergeCell ref="AW23:AX23"/>
    <mergeCell ref="BA39:BC39"/>
    <mergeCell ref="AK118:AL118"/>
    <mergeCell ref="BA92:BC92"/>
    <mergeCell ref="M119:Q119"/>
    <mergeCell ref="AM182:AO182"/>
    <mergeCell ref="AP35:AQ35"/>
    <mergeCell ref="AR99:AT99"/>
    <mergeCell ref="AP157:AQ157"/>
    <mergeCell ref="Y84:AD84"/>
    <mergeCell ref="BF106:BH106"/>
    <mergeCell ref="A177:B177"/>
    <mergeCell ref="AG136:AH136"/>
    <mergeCell ref="AI70:AJ70"/>
    <mergeCell ref="Y86:AD86"/>
    <mergeCell ref="J106:L106"/>
    <mergeCell ref="AY114:AZ114"/>
    <mergeCell ref="J133:L133"/>
    <mergeCell ref="AM183:AO183"/>
    <mergeCell ref="AM177:AO177"/>
    <mergeCell ref="AG7:AH7"/>
    <mergeCell ref="AR100:AT100"/>
    <mergeCell ref="AP30:AQ30"/>
    <mergeCell ref="AI63:AJ63"/>
    <mergeCell ref="AW51:AX51"/>
    <mergeCell ref="AR94:AT94"/>
    <mergeCell ref="AP59:AQ59"/>
    <mergeCell ref="C147:F147"/>
    <mergeCell ref="BD187:BE187"/>
    <mergeCell ref="AI194:AJ194"/>
    <mergeCell ref="AI200:AJ200"/>
    <mergeCell ref="G96:I96"/>
    <mergeCell ref="J135:L135"/>
    <mergeCell ref="BA65:BC65"/>
    <mergeCell ref="BA21:BC21"/>
    <mergeCell ref="AI71:AJ71"/>
    <mergeCell ref="BI105:BK105"/>
    <mergeCell ref="AU160:AV160"/>
    <mergeCell ref="BD189:BE189"/>
    <mergeCell ref="AP61:AQ61"/>
    <mergeCell ref="G98:I98"/>
    <mergeCell ref="BA23:BC23"/>
    <mergeCell ref="C148:F148"/>
    <mergeCell ref="AI195:AJ195"/>
    <mergeCell ref="R116:X116"/>
    <mergeCell ref="M43:Q43"/>
    <mergeCell ref="AW77:AX77"/>
    <mergeCell ref="AE91:AF91"/>
    <mergeCell ref="AE85:AF85"/>
    <mergeCell ref="AG25:AH25"/>
    <mergeCell ref="G93:I93"/>
    <mergeCell ref="BA18:BC18"/>
    <mergeCell ref="C165:F165"/>
    <mergeCell ref="AE93:AF93"/>
    <mergeCell ref="G108:I108"/>
    <mergeCell ref="R117:X117"/>
    <mergeCell ref="AY141:AZ141"/>
    <mergeCell ref="AG149:AH149"/>
    <mergeCell ref="BD58:BE58"/>
    <mergeCell ref="Y105:AD105"/>
    <mergeCell ref="AR24:AT24"/>
    <mergeCell ref="Y99:AD99"/>
    <mergeCell ref="U2:Y2"/>
    <mergeCell ref="BA49:BC49"/>
    <mergeCell ref="C77:F77"/>
    <mergeCell ref="AI124:AJ124"/>
    <mergeCell ref="BI36:BK36"/>
    <mergeCell ref="R119:X119"/>
    <mergeCell ref="AE122:AF122"/>
    <mergeCell ref="AY143:AZ143"/>
    <mergeCell ref="G20:I20"/>
    <mergeCell ref="AG151:AH151"/>
    <mergeCell ref="C166:F166"/>
    <mergeCell ref="C160:F160"/>
    <mergeCell ref="AR26:AT26"/>
    <mergeCell ref="BA42:BC42"/>
    <mergeCell ref="Y101:AD101"/>
    <mergeCell ref="G109:I109"/>
    <mergeCell ref="AI126:AJ126"/>
    <mergeCell ref="BF177:BH177"/>
    <mergeCell ref="AY14:AZ14"/>
    <mergeCell ref="BA78:BC78"/>
    <mergeCell ref="AK182:AL182"/>
    <mergeCell ref="AK188:AL188"/>
    <mergeCell ref="A1:J3"/>
    <mergeCell ref="AP105:AQ105"/>
    <mergeCell ref="G22:I22"/>
    <mergeCell ref="AU179:AV179"/>
    <mergeCell ref="AM37:AO37"/>
    <mergeCell ref="U3:Y3"/>
    <mergeCell ref="AM94:AO94"/>
    <mergeCell ref="M77:Q77"/>
    <mergeCell ref="AP99:AQ99"/>
    <mergeCell ref="BA44:BC44"/>
    <mergeCell ref="M33:Q33"/>
    <mergeCell ref="BF176:BH176"/>
    <mergeCell ref="BI31:BK31"/>
    <mergeCell ref="AE13:AF13"/>
    <mergeCell ref="G111:I111"/>
    <mergeCell ref="BA80:BC80"/>
    <mergeCell ref="J181:L181"/>
    <mergeCell ref="AU32:AV32"/>
    <mergeCell ref="AP107:AQ107"/>
    <mergeCell ref="AW88:AX88"/>
    <mergeCell ref="BF178:BH178"/>
    <mergeCell ref="AM125:AO125"/>
    <mergeCell ref="AY153:AZ153"/>
    <mergeCell ref="M62:Q62"/>
    <mergeCell ref="AE15:AF15"/>
    <mergeCell ref="AK183:AL183"/>
    <mergeCell ref="AP100:AQ100"/>
    <mergeCell ref="AW96:AX96"/>
    <mergeCell ref="R139:X139"/>
    <mergeCell ref="M72:Q72"/>
    <mergeCell ref="AW90:AX90"/>
    <mergeCell ref="AE104:AF104"/>
    <mergeCell ref="AR52:AT52"/>
    <mergeCell ref="AM127:AO127"/>
    <mergeCell ref="AY65:AZ65"/>
    <mergeCell ref="AG79:AH79"/>
    <mergeCell ref="AG73:AH73"/>
    <mergeCell ref="AP102:AQ102"/>
    <mergeCell ref="M87:Q87"/>
    <mergeCell ref="AR166:AT166"/>
    <mergeCell ref="Y29:AD29"/>
    <mergeCell ref="J49:L49"/>
    <mergeCell ref="AY154:AZ154"/>
    <mergeCell ref="AM120:AO120"/>
    <mergeCell ref="M59:Q59"/>
    <mergeCell ref="G162:I162"/>
    <mergeCell ref="R43:X43"/>
    <mergeCell ref="J5:L6"/>
    <mergeCell ref="AG81:AH81"/>
    <mergeCell ref="AI137:AJ137"/>
    <mergeCell ref="Y31:AD31"/>
    <mergeCell ref="AP127:AQ127"/>
    <mergeCell ref="AY156:AZ156"/>
    <mergeCell ref="G33:I33"/>
    <mergeCell ref="BI65:BK65"/>
    <mergeCell ref="M88:Q88"/>
    <mergeCell ref="M82:Q82"/>
    <mergeCell ref="BF196:BH196"/>
    <mergeCell ref="AI139:AJ139"/>
    <mergeCell ref="M54:Q54"/>
    <mergeCell ref="G35:I35"/>
    <mergeCell ref="AG76:AH76"/>
    <mergeCell ref="M90:Q90"/>
    <mergeCell ref="AW108:AX108"/>
    <mergeCell ref="R67:X67"/>
    <mergeCell ref="AI51:AJ51"/>
    <mergeCell ref="AY83:AZ83"/>
    <mergeCell ref="Y186:AD186"/>
    <mergeCell ref="BF191:BH191"/>
    <mergeCell ref="R69:X69"/>
    <mergeCell ref="AW20:AX20"/>
    <mergeCell ref="AY49:AZ49"/>
    <mergeCell ref="AE28:AF28"/>
    <mergeCell ref="AG101:AH101"/>
    <mergeCell ref="AI183:AJ183"/>
    <mergeCell ref="BD10:BE10"/>
    <mergeCell ref="BI75:BK75"/>
    <mergeCell ref="AM173:AO173"/>
    <mergeCell ref="G59:I59"/>
    <mergeCell ref="AR96:AT96"/>
    <mergeCell ref="Y171:AD171"/>
    <mergeCell ref="A20:B20"/>
    <mergeCell ref="AW22:AX22"/>
    <mergeCell ref="AY84:AZ84"/>
    <mergeCell ref="AE30:AF30"/>
    <mergeCell ref="AY78:AZ78"/>
    <mergeCell ref="AG92:AH92"/>
    <mergeCell ref="C118:F118"/>
    <mergeCell ref="AI165:AJ165"/>
    <mergeCell ref="J131:L131"/>
    <mergeCell ref="G67:I67"/>
    <mergeCell ref="AM181:AO181"/>
    <mergeCell ref="G61:I61"/>
    <mergeCell ref="AR98:AT98"/>
    <mergeCell ref="Y173:AD173"/>
    <mergeCell ref="A13:B13"/>
    <mergeCell ref="M141:Q141"/>
    <mergeCell ref="AP57:AQ57"/>
    <mergeCell ref="BA150:BC150"/>
    <mergeCell ref="AY80:AZ80"/>
    <mergeCell ref="Y44:AD44"/>
    <mergeCell ref="AP146:AQ146"/>
    <mergeCell ref="A15:B15"/>
    <mergeCell ref="M143:Q143"/>
    <mergeCell ref="BI103:BK103"/>
    <mergeCell ref="A191:B191"/>
    <mergeCell ref="AP181:AQ181"/>
    <mergeCell ref="BF33:BH33"/>
    <mergeCell ref="A51:B51"/>
    <mergeCell ref="AE54:AF54"/>
    <mergeCell ref="G62:I62"/>
    <mergeCell ref="AU98:AV98"/>
    <mergeCell ref="AW38:AX38"/>
    <mergeCell ref="AP58:AQ58"/>
    <mergeCell ref="AP52:AQ52"/>
    <mergeCell ref="AE56:AF56"/>
    <mergeCell ref="AW162:AX162"/>
    <mergeCell ref="AR124:AT124"/>
    <mergeCell ref="AG145:AH145"/>
    <mergeCell ref="R82:X82"/>
    <mergeCell ref="AW33:AX33"/>
    <mergeCell ref="AY106:AZ106"/>
    <mergeCell ref="AG120:AH120"/>
    <mergeCell ref="BD29:BE29"/>
    <mergeCell ref="AW164:AX164"/>
    <mergeCell ref="BD23:BE23"/>
    <mergeCell ref="Y70:AD70"/>
    <mergeCell ref="J142:L142"/>
    <mergeCell ref="AR126:AT126"/>
    <mergeCell ref="AM192:AO192"/>
    <mergeCell ref="BI129:BK129"/>
    <mergeCell ref="AR109:AT109"/>
    <mergeCell ref="AG147:AH147"/>
    <mergeCell ref="A33:B33"/>
    <mergeCell ref="AW35:AX35"/>
    <mergeCell ref="AG174:AH174"/>
    <mergeCell ref="Y97:AD97"/>
    <mergeCell ref="J150:L150"/>
    <mergeCell ref="AP199:AQ199"/>
    <mergeCell ref="J144:L144"/>
    <mergeCell ref="BA47:BC47"/>
    <mergeCell ref="AY10:AZ10"/>
    <mergeCell ref="BA74:BC74"/>
    <mergeCell ref="BI131:BK131"/>
    <mergeCell ref="M154:Q154"/>
    <mergeCell ref="C164:F164"/>
    <mergeCell ref="J116:L116"/>
    <mergeCell ref="A35:B35"/>
    <mergeCell ref="AP70:AQ70"/>
    <mergeCell ref="A62:B62"/>
    <mergeCell ref="BA163:BC163"/>
    <mergeCell ref="BA40:BC40"/>
    <mergeCell ref="G107:I107"/>
    <mergeCell ref="BI2:BK2"/>
    <mergeCell ref="BA76:BC76"/>
    <mergeCell ref="R110:X110"/>
    <mergeCell ref="A28:B28"/>
    <mergeCell ref="M156:Q156"/>
    <mergeCell ref="AG171:AH171"/>
    <mergeCell ref="AP200:AQ200"/>
    <mergeCell ref="AW59:AX59"/>
    <mergeCell ref="U1:Y1"/>
    <mergeCell ref="BA165:BC165"/>
    <mergeCell ref="AP194:AQ194"/>
    <mergeCell ref="M155:Q155"/>
    <mergeCell ref="AM34:AO34"/>
    <mergeCell ref="R141:X141"/>
    <mergeCell ref="A30:B30"/>
    <mergeCell ref="AG173:AH173"/>
    <mergeCell ref="AW86:AX86"/>
    <mergeCell ref="A59:B59"/>
    <mergeCell ref="AE100:AF100"/>
    <mergeCell ref="Y129:AD129"/>
    <mergeCell ref="AG200:AH200"/>
    <mergeCell ref="Y123:AD123"/>
    <mergeCell ref="AR162:AT162"/>
    <mergeCell ref="AG44:AH44"/>
    <mergeCell ref="AR137:AT137"/>
    <mergeCell ref="R143:X143"/>
    <mergeCell ref="M180:Q180"/>
    <mergeCell ref="C190:F190"/>
    <mergeCell ref="AE102:AF102"/>
    <mergeCell ref="A61:B61"/>
    <mergeCell ref="AY150:AZ150"/>
    <mergeCell ref="AG158:AH158"/>
    <mergeCell ref="G133:I133"/>
    <mergeCell ref="J172:L172"/>
    <mergeCell ref="R14:X14"/>
    <mergeCell ref="R136:X136"/>
    <mergeCell ref="AR164:AT164"/>
    <mergeCell ref="AR139:AT139"/>
    <mergeCell ref="AI108:AJ108"/>
    <mergeCell ref="AP129:AQ129"/>
    <mergeCell ref="Y124:AD124"/>
    <mergeCell ref="BI142:BK142"/>
    <mergeCell ref="AY152:AZ152"/>
    <mergeCell ref="AK24:AL24"/>
    <mergeCell ref="C175:F175"/>
    <mergeCell ref="M84:Q84"/>
    <mergeCell ref="G135:I135"/>
    <mergeCell ref="C185:F185"/>
    <mergeCell ref="BI144:BK144"/>
    <mergeCell ref="AK26:AL26"/>
    <mergeCell ref="BA59:BC59"/>
    <mergeCell ref="M86:Q86"/>
    <mergeCell ref="AW104:AX104"/>
    <mergeCell ref="G164:I164"/>
    <mergeCell ref="M80:Q80"/>
    <mergeCell ref="AP124:AQ124"/>
    <mergeCell ref="BA89:BC89"/>
    <mergeCell ref="AW114:AX114"/>
    <mergeCell ref="AU41:AV41"/>
    <mergeCell ref="AE128:AF128"/>
    <mergeCell ref="AE155:AF155"/>
    <mergeCell ref="AG184:AH184"/>
    <mergeCell ref="AW106:AX106"/>
    <mergeCell ref="AR59:AT59"/>
    <mergeCell ref="BA88:BC88"/>
    <mergeCell ref="Y134:AD134"/>
    <mergeCell ref="AP126:AQ126"/>
    <mergeCell ref="J14:L14"/>
    <mergeCell ref="AR190:AT190"/>
    <mergeCell ref="AW122:AX122"/>
    <mergeCell ref="AU43:AV43"/>
    <mergeCell ref="AW105:AX105"/>
    <mergeCell ref="R154:X154"/>
    <mergeCell ref="AE157:AF157"/>
    <mergeCell ref="AY178:AZ178"/>
    <mergeCell ref="AR67:AT67"/>
    <mergeCell ref="BD95:BE95"/>
    <mergeCell ref="Y142:AD142"/>
    <mergeCell ref="AR61:AT61"/>
    <mergeCell ref="BI73:BK73"/>
    <mergeCell ref="R156:X156"/>
    <mergeCell ref="A143:B143"/>
    <mergeCell ref="AY163:AZ163"/>
    <mergeCell ref="BD97:BE97"/>
    <mergeCell ref="G146:I146"/>
    <mergeCell ref="BA115:BC115"/>
    <mergeCell ref="AU67:AV67"/>
    <mergeCell ref="BC2:BD2"/>
    <mergeCell ref="Y137:AD137"/>
    <mergeCell ref="AP142:AQ142"/>
    <mergeCell ref="BI74:BK74"/>
    <mergeCell ref="BF29:BH29"/>
    <mergeCell ref="BI68:BK68"/>
    <mergeCell ref="G58:I58"/>
    <mergeCell ref="R151:X151"/>
    <mergeCell ref="AU69:AV69"/>
    <mergeCell ref="R180:X180"/>
    <mergeCell ref="AP144:AQ144"/>
    <mergeCell ref="BA141:BC141"/>
    <mergeCell ref="BI76:BK76"/>
    <mergeCell ref="M99:Q99"/>
    <mergeCell ref="AE52:AF52"/>
    <mergeCell ref="AP137:AQ137"/>
    <mergeCell ref="R182:X182"/>
    <mergeCell ref="AW133:AX133"/>
    <mergeCell ref="AW127:AX127"/>
    <mergeCell ref="Y195:AD195"/>
    <mergeCell ref="BA143:BC143"/>
    <mergeCell ref="C45:F45"/>
    <mergeCell ref="AM15:AO15"/>
    <mergeCell ref="J58:L58"/>
    <mergeCell ref="AG116:AH116"/>
    <mergeCell ref="AP139:AQ139"/>
    <mergeCell ref="BD19:BE19"/>
    <mergeCell ref="AI32:AJ32"/>
    <mergeCell ref="Y66:AD66"/>
    <mergeCell ref="AR122:AT122"/>
    <mergeCell ref="AE170:AF170"/>
    <mergeCell ref="AE53:AF53"/>
    <mergeCell ref="AY191:AZ191"/>
    <mergeCell ref="C47:F47"/>
    <mergeCell ref="Y197:AD197"/>
    <mergeCell ref="AG118:AH118"/>
    <mergeCell ref="C133:F133"/>
    <mergeCell ref="C127:F127"/>
    <mergeCell ref="BD27:BE27"/>
    <mergeCell ref="Y68:AD68"/>
    <mergeCell ref="AK96:AL96"/>
    <mergeCell ref="A156:B156"/>
    <mergeCell ref="G70:I70"/>
    <mergeCell ref="M125:Q125"/>
    <mergeCell ref="BD20:BE20"/>
    <mergeCell ref="BF84:BH84"/>
    <mergeCell ref="BA159:BC159"/>
    <mergeCell ref="AP163:AQ163"/>
    <mergeCell ref="AK98:AL98"/>
    <mergeCell ref="A24:B24"/>
    <mergeCell ref="M127:Q127"/>
    <mergeCell ref="BD22:BE22"/>
    <mergeCell ref="BF86:BH86"/>
    <mergeCell ref="BI87:BK87"/>
    <mergeCell ref="A60:B60"/>
    <mergeCell ref="AE63:AF63"/>
    <mergeCell ref="AK91:AL91"/>
    <mergeCell ref="BA161:BC161"/>
    <mergeCell ref="AP165:AQ165"/>
    <mergeCell ref="AW186:AX186"/>
    <mergeCell ref="AY120:AZ120"/>
    <mergeCell ref="AU82:AV82"/>
    <mergeCell ref="AP190:AQ190"/>
    <mergeCell ref="J86:L86"/>
    <mergeCell ref="AW57:AX57"/>
    <mergeCell ref="AE71:AF71"/>
    <mergeCell ref="AY113:AZ113"/>
    <mergeCell ref="BD9:BE9"/>
    <mergeCell ref="BD47:BE47"/>
    <mergeCell ref="AW146:AX146"/>
    <mergeCell ref="BD167:BE167"/>
    <mergeCell ref="AR133:AT133"/>
    <mergeCell ref="AI174:AJ174"/>
    <mergeCell ref="BA156:BC156"/>
    <mergeCell ref="BA195:BC195"/>
    <mergeCell ref="AY121:AZ121"/>
    <mergeCell ref="A84:B84"/>
    <mergeCell ref="AY115:AZ115"/>
    <mergeCell ref="BD38:BE38"/>
    <mergeCell ref="AI45:AJ45"/>
    <mergeCell ref="AR135:AT135"/>
    <mergeCell ref="A50:B50"/>
    <mergeCell ref="BI138:BK138"/>
    <mergeCell ref="BI113:BK113"/>
    <mergeCell ref="BA187:BC187"/>
    <mergeCell ref="BA3:BB3"/>
    <mergeCell ref="AK20:AL20"/>
    <mergeCell ref="A86:B86"/>
    <mergeCell ref="AU11:AV11"/>
    <mergeCell ref="BF104:BH104"/>
    <mergeCell ref="BD162:BE162"/>
    <mergeCell ref="AK109:AL109"/>
    <mergeCell ref="BA180:BC180"/>
    <mergeCell ref="Y122:AD122"/>
    <mergeCell ref="BI115:BK115"/>
    <mergeCell ref="BI140:BK140"/>
    <mergeCell ref="AK22:AL22"/>
    <mergeCell ref="BF70:BH70"/>
    <mergeCell ref="M5:Q6"/>
    <mergeCell ref="AU141:AV141"/>
    <mergeCell ref="AW75:AX75"/>
    <mergeCell ref="AK111:AL111"/>
    <mergeCell ref="AM175:AO175"/>
    <mergeCell ref="BA182:BC182"/>
    <mergeCell ref="A81:B81"/>
    <mergeCell ref="AE124:AF124"/>
    <mergeCell ref="AU12:AV12"/>
    <mergeCell ref="BD35:BE35"/>
    <mergeCell ref="BF99:BH99"/>
    <mergeCell ref="G126:I126"/>
    <mergeCell ref="AU143:AV143"/>
    <mergeCell ref="BA84:BC84"/>
    <mergeCell ref="AW199:AX199"/>
    <mergeCell ref="BI141:BK141"/>
    <mergeCell ref="AG188:AH188"/>
    <mergeCell ref="R125:X125"/>
    <mergeCell ref="J99:L99"/>
    <mergeCell ref="AW70:AX70"/>
    <mergeCell ref="BD91:BE91"/>
    <mergeCell ref="BD66:BE66"/>
    <mergeCell ref="J179:L179"/>
    <mergeCell ref="BI166:BK166"/>
    <mergeCell ref="AR146:AT146"/>
    <mergeCell ref="J101:L101"/>
    <mergeCell ref="A70:B70"/>
    <mergeCell ref="AY134:AZ134"/>
    <mergeCell ref="BD93:BE93"/>
    <mergeCell ref="J187:L187"/>
    <mergeCell ref="AK162:AL162"/>
    <mergeCell ref="BI37:BK37"/>
    <mergeCell ref="BA111:BC111"/>
    <mergeCell ref="R120:X120"/>
    <mergeCell ref="AU153:AV153"/>
    <mergeCell ref="BI168:BK168"/>
    <mergeCell ref="AG183:AH183"/>
    <mergeCell ref="M191:Q191"/>
    <mergeCell ref="M51:Q51"/>
    <mergeCell ref="AK33:AL33"/>
    <mergeCell ref="A99:B99"/>
    <mergeCell ref="AK164:AL164"/>
    <mergeCell ref="AU65:AV65"/>
    <mergeCell ref="BF30:BH30"/>
    <mergeCell ref="Y135:AD135"/>
    <mergeCell ref="AK35:AL35"/>
    <mergeCell ref="A101:B101"/>
    <mergeCell ref="AU154:AV154"/>
    <mergeCell ref="M192:Q192"/>
    <mergeCell ref="G173:I173"/>
    <mergeCell ref="AP108:AQ108"/>
    <mergeCell ref="AK34:AL34"/>
    <mergeCell ref="AW129:AX129"/>
    <mergeCell ref="AW123:AX123"/>
    <mergeCell ref="AE137:AF137"/>
    <mergeCell ref="AU25:AV25"/>
    <mergeCell ref="AM101:AO101"/>
    <mergeCell ref="BD119:BE119"/>
    <mergeCell ref="C41:F41"/>
    <mergeCell ref="AU156:AV156"/>
    <mergeCell ref="J29:L29"/>
    <mergeCell ref="BF31:BH31"/>
    <mergeCell ref="AR199:AT199"/>
    <mergeCell ref="AM100:AO100"/>
    <mergeCell ref="AW131:AX131"/>
    <mergeCell ref="AI3:AJ3"/>
    <mergeCell ref="BD112:BE112"/>
    <mergeCell ref="AE139:AF139"/>
    <mergeCell ref="AE166:AF166"/>
    <mergeCell ref="AY187:AZ187"/>
    <mergeCell ref="R5:X6"/>
    <mergeCell ref="C43:F43"/>
    <mergeCell ref="AK190:AL190"/>
    <mergeCell ref="BD104:BE104"/>
    <mergeCell ref="AI117:AJ117"/>
    <mergeCell ref="G170:I170"/>
    <mergeCell ref="R173:X173"/>
    <mergeCell ref="AM102:AO102"/>
    <mergeCell ref="BF56:BH56"/>
    <mergeCell ref="AK67:AL67"/>
    <mergeCell ref="C36:F36"/>
    <mergeCell ref="BD114:BE114"/>
    <mergeCell ref="AK61:AL61"/>
    <mergeCell ref="AE168:AF168"/>
    <mergeCell ref="BI179:BK179"/>
    <mergeCell ref="AY189:AZ189"/>
    <mergeCell ref="J24:L24"/>
    <mergeCell ref="G172:I172"/>
    <mergeCell ref="G199:I199"/>
    <mergeCell ref="AW126:AX126"/>
    <mergeCell ref="BA130:BC130"/>
    <mergeCell ref="BD105:BE105"/>
    <mergeCell ref="C67:F67"/>
    <mergeCell ref="J26:L26"/>
    <mergeCell ref="M123:Q123"/>
    <mergeCell ref="AU78:AV78"/>
    <mergeCell ref="BF171:BH171"/>
    <mergeCell ref="AE192:AF192"/>
    <mergeCell ref="C69:F69"/>
    <mergeCell ref="C96:F96"/>
    <mergeCell ref="BD130:BE130"/>
    <mergeCell ref="BA125:BC125"/>
    <mergeCell ref="AM31:AO31"/>
    <mergeCell ref="AU80:AV80"/>
    <mergeCell ref="AW142:AX142"/>
    <mergeCell ref="R191:X191"/>
    <mergeCell ref="AE194:AF194"/>
    <mergeCell ref="C98:F98"/>
    <mergeCell ref="BD132:BE132"/>
    <mergeCell ref="AY58:AZ58"/>
    <mergeCell ref="Y179:AD179"/>
    <mergeCell ref="A26:B26"/>
    <mergeCell ref="G41:I41"/>
    <mergeCell ref="J42:L42"/>
    <mergeCell ref="AI16:AJ16"/>
    <mergeCell ref="AM32:AO32"/>
    <mergeCell ref="AM26:AO26"/>
    <mergeCell ref="BI109:BK109"/>
    <mergeCell ref="BA183:BC183"/>
    <mergeCell ref="G43:I43"/>
    <mergeCell ref="J44:L44"/>
    <mergeCell ref="BF100:BH100"/>
    <mergeCell ref="AU104:AV104"/>
    <mergeCell ref="AI43:AJ43"/>
    <mergeCell ref="AI18:AJ18"/>
    <mergeCell ref="AK105:AL105"/>
    <mergeCell ref="A171:B171"/>
    <mergeCell ref="A165:B165"/>
    <mergeCell ref="P3:T3"/>
    <mergeCell ref="AP179:AQ179"/>
    <mergeCell ref="BI111:BK111"/>
    <mergeCell ref="J37:L37"/>
    <mergeCell ref="M134:Q134"/>
    <mergeCell ref="BA185:BC185"/>
    <mergeCell ref="AU106:AV106"/>
    <mergeCell ref="AP32:AQ32"/>
    <mergeCell ref="AK107:AL107"/>
    <mergeCell ref="AM171:AO171"/>
    <mergeCell ref="A173:B173"/>
    <mergeCell ref="BA178:BC178"/>
    <mergeCell ref="A77:B77"/>
    <mergeCell ref="Y21:AD21"/>
    <mergeCell ref="BD31:BE31"/>
    <mergeCell ref="BF95:BH95"/>
    <mergeCell ref="A166:B166"/>
    <mergeCell ref="AW195:AX195"/>
    <mergeCell ref="AW170:AX170"/>
    <mergeCell ref="R62:X62"/>
    <mergeCell ref="C82:F82"/>
    <mergeCell ref="AM52:AO52"/>
    <mergeCell ref="J95:L95"/>
    <mergeCell ref="BF97:BH97"/>
    <mergeCell ref="BD62:BE62"/>
    <mergeCell ref="AK102:AL102"/>
    <mergeCell ref="AM166:AO166"/>
    <mergeCell ref="A168:B168"/>
    <mergeCell ref="AW197:AX197"/>
    <mergeCell ref="BD176:BE176"/>
    <mergeCell ref="AG6:AH6"/>
    <mergeCell ref="AM174:AO174"/>
    <mergeCell ref="AQ3:AR3"/>
    <mergeCell ref="J124:L124"/>
    <mergeCell ref="BD64:BE64"/>
    <mergeCell ref="BD186:BE186"/>
    <mergeCell ref="AK133:AL133"/>
    <mergeCell ref="G113:I113"/>
    <mergeCell ref="J96:L96"/>
    <mergeCell ref="BI164:BK164"/>
    <mergeCell ref="AP50:AQ50"/>
    <mergeCell ref="J90:L90"/>
    <mergeCell ref="BA20:BC20"/>
    <mergeCell ref="BD57:BE57"/>
    <mergeCell ref="BF121:BH121"/>
    <mergeCell ref="BA196:BC196"/>
    <mergeCell ref="AK135:AL135"/>
    <mergeCell ref="BI193:BK193"/>
    <mergeCell ref="BF129:BH129"/>
    <mergeCell ref="AI72:AJ72"/>
    <mergeCell ref="BF123:BH123"/>
    <mergeCell ref="BA198:BC198"/>
    <mergeCell ref="AK128:AL128"/>
    <mergeCell ref="AU150:AV150"/>
    <mergeCell ref="AP45:AQ45"/>
    <mergeCell ref="AM42:AO42"/>
    <mergeCell ref="A96:B96"/>
    <mergeCell ref="Y103:AD103"/>
    <mergeCell ref="BA51:BC51"/>
    <mergeCell ref="AE108:AF108"/>
    <mergeCell ref="C12:F12"/>
    <mergeCell ref="AU152:AV152"/>
    <mergeCell ref="AG24:AH24"/>
    <mergeCell ref="M190:Q190"/>
    <mergeCell ref="AR170:AT170"/>
    <mergeCell ref="AM96:AO96"/>
    <mergeCell ref="AM71:AO71"/>
    <mergeCell ref="J152:L152"/>
    <mergeCell ref="AG26:AH26"/>
    <mergeCell ref="BA38:BC38"/>
    <mergeCell ref="BD75:BE75"/>
    <mergeCell ref="AI88:AJ88"/>
    <mergeCell ref="AI82:AJ82"/>
    <mergeCell ref="AU181:AV181"/>
    <mergeCell ref="AR172:AT172"/>
    <mergeCell ref="AM98:AO98"/>
    <mergeCell ref="BD110:BE110"/>
    <mergeCell ref="BI175:BK175"/>
    <mergeCell ref="C7:F7"/>
    <mergeCell ref="AK57:AL57"/>
    <mergeCell ref="A123:B123"/>
    <mergeCell ref="AU176:AV176"/>
    <mergeCell ref="J20:L20"/>
    <mergeCell ref="AI90:AJ90"/>
    <mergeCell ref="BD199:BE199"/>
    <mergeCell ref="AK146:AL146"/>
    <mergeCell ref="BI183:BK183"/>
    <mergeCell ref="BI177:BK177"/>
    <mergeCell ref="BA33:BC33"/>
    <mergeCell ref="M60:Q60"/>
    <mergeCell ref="BF134:BH134"/>
    <mergeCell ref="AU178:AV178"/>
    <mergeCell ref="J22:L22"/>
    <mergeCell ref="A108:B108"/>
    <mergeCell ref="G197:I197"/>
    <mergeCell ref="AK58:AL58"/>
    <mergeCell ref="A118:B118"/>
    <mergeCell ref="AR12:AT12"/>
    <mergeCell ref="AU49:AV49"/>
    <mergeCell ref="BF167:BH167"/>
    <mergeCell ref="AE188:AF188"/>
    <mergeCell ref="J134:L134"/>
    <mergeCell ref="J51:L51"/>
    <mergeCell ref="BF55:BH55"/>
    <mergeCell ref="BI178:BK178"/>
    <mergeCell ref="AK60:AL60"/>
    <mergeCell ref="AM124:AO124"/>
    <mergeCell ref="AG166:AH166"/>
    <mergeCell ref="BF169:BH169"/>
    <mergeCell ref="AE190:AF190"/>
    <mergeCell ref="AR41:AT41"/>
    <mergeCell ref="Y116:AD116"/>
    <mergeCell ref="AY2:AZ2"/>
    <mergeCell ref="BD128:BE128"/>
    <mergeCell ref="AY29:AZ29"/>
    <mergeCell ref="C25:F25"/>
    <mergeCell ref="BA123:BC123"/>
    <mergeCell ref="AG37:AH37"/>
    <mergeCell ref="AI141:AJ141"/>
    <mergeCell ref="AM126:AO126"/>
    <mergeCell ref="AR7:AT7"/>
    <mergeCell ref="BF40:BH40"/>
    <mergeCell ref="C183:F183"/>
    <mergeCell ref="AM109:AO109"/>
    <mergeCell ref="AR43:AT43"/>
    <mergeCell ref="AI12:AJ12"/>
    <mergeCell ref="A134:B134"/>
    <mergeCell ref="AI143:AJ143"/>
    <mergeCell ref="AY31:AZ31"/>
    <mergeCell ref="G39:I39"/>
    <mergeCell ref="BD129:BE129"/>
    <mergeCell ref="AI14:AJ14"/>
    <mergeCell ref="M50:Q50"/>
    <mergeCell ref="AI136:AJ136"/>
    <mergeCell ref="AK70:AL70"/>
    <mergeCell ref="J77:L77"/>
    <mergeCell ref="BF37:BH37"/>
    <mergeCell ref="AI13:AJ13"/>
    <mergeCell ref="AK42:AL42"/>
    <mergeCell ref="BF195:BH195"/>
    <mergeCell ref="BI196:BK196"/>
    <mergeCell ref="Y172:AD172"/>
    <mergeCell ref="AK200:AL200"/>
    <mergeCell ref="P1:T1"/>
    <mergeCell ref="AE32:AF32"/>
    <mergeCell ref="AU191:AV191"/>
    <mergeCell ref="J35:L35"/>
    <mergeCell ref="Y17:AD17"/>
    <mergeCell ref="BF66:BH66"/>
    <mergeCell ref="A162:B162"/>
    <mergeCell ref="AK71:AL71"/>
    <mergeCell ref="BF197:BH197"/>
    <mergeCell ref="AR25:AT25"/>
    <mergeCell ref="R58:X58"/>
    <mergeCell ref="C78:F78"/>
    <mergeCell ref="AG96:AH96"/>
    <mergeCell ref="Y46:AD46"/>
    <mergeCell ref="G65:I65"/>
    <mergeCell ref="J66:L66"/>
    <mergeCell ref="BF68:BH68"/>
    <mergeCell ref="A164:B164"/>
    <mergeCell ref="AK73:AL73"/>
    <mergeCell ref="AM137:AO137"/>
    <mergeCell ref="AW168:AX168"/>
    <mergeCell ref="R60:X60"/>
    <mergeCell ref="Y12:AD12"/>
    <mergeCell ref="C107:F107"/>
    <mergeCell ref="AI154:AJ154"/>
    <mergeCell ref="Y48:AD48"/>
    <mergeCell ref="AM164:AO164"/>
    <mergeCell ref="AM139:AO139"/>
    <mergeCell ref="G50:I50"/>
    <mergeCell ref="C79:F79"/>
    <mergeCell ref="A195:B195"/>
    <mergeCell ref="AG91:AH91"/>
    <mergeCell ref="C73:F73"/>
    <mergeCell ref="M105:Q105"/>
    <mergeCell ref="AI25:AJ25"/>
    <mergeCell ref="Y41:AD41"/>
    <mergeCell ref="J61:L61"/>
    <mergeCell ref="AI156:AJ156"/>
    <mergeCell ref="J97:L97"/>
    <mergeCell ref="A188:B188"/>
    <mergeCell ref="G52:I52"/>
    <mergeCell ref="AM51:AO51"/>
    <mergeCell ref="AG93:AH93"/>
    <mergeCell ref="AU113:AV113"/>
    <mergeCell ref="BD142:BE142"/>
    <mergeCell ref="AE60:AF60"/>
    <mergeCell ref="AI155:AJ155"/>
    <mergeCell ref="M101:Q101"/>
    <mergeCell ref="Y43:AD43"/>
    <mergeCell ref="BF119:BH119"/>
    <mergeCell ref="A68:B68"/>
    <mergeCell ref="AK124:AL124"/>
    <mergeCell ref="A190:B190"/>
    <mergeCell ref="AU121:AV121"/>
    <mergeCell ref="AU115:AV115"/>
    <mergeCell ref="AP41:AQ41"/>
    <mergeCell ref="R86:X86"/>
    <mergeCell ref="AI151:AJ151"/>
    <mergeCell ref="R42:X42"/>
    <mergeCell ref="AE45:AF45"/>
    <mergeCell ref="AI180:AJ180"/>
    <mergeCell ref="Y74:AD74"/>
    <mergeCell ref="AK126:AL126"/>
    <mergeCell ref="AG20:AH20"/>
    <mergeCell ref="AP43:AQ43"/>
    <mergeCell ref="AW179:AX179"/>
    <mergeCell ref="AW39:AX39"/>
    <mergeCell ref="C135:F135"/>
    <mergeCell ref="AM67:AO67"/>
    <mergeCell ref="AY95:AZ95"/>
    <mergeCell ref="AG109:AH109"/>
    <mergeCell ref="AM61:AO61"/>
    <mergeCell ref="J148:L148"/>
    <mergeCell ref="Y59:AD59"/>
    <mergeCell ref="G78:I78"/>
    <mergeCell ref="AG22:AH22"/>
    <mergeCell ref="AI84:AJ84"/>
    <mergeCell ref="AE46:AF46"/>
    <mergeCell ref="BF122:BH122"/>
    <mergeCell ref="AM69:AO69"/>
    <mergeCell ref="AY97:AZ97"/>
    <mergeCell ref="Y25:AD25"/>
    <mergeCell ref="G80:I80"/>
    <mergeCell ref="AI86:AJ86"/>
    <mergeCell ref="BD195:BE195"/>
    <mergeCell ref="AM35:AO35"/>
    <mergeCell ref="AI80:AJ80"/>
    <mergeCell ref="C92:F92"/>
    <mergeCell ref="AK142:AL142"/>
    <mergeCell ref="AM193:AO193"/>
    <mergeCell ref="J105:L105"/>
    <mergeCell ref="J143:L143"/>
    <mergeCell ref="BA29:BC29"/>
    <mergeCell ref="AI79:AJ79"/>
    <mergeCell ref="M31:Q31"/>
    <mergeCell ref="AU174:AV174"/>
    <mergeCell ref="BD197:BE197"/>
    <mergeCell ref="AP69:AQ69"/>
    <mergeCell ref="AK144:AL144"/>
    <mergeCell ref="BF138:BH138"/>
    <mergeCell ref="BD11:BE11"/>
    <mergeCell ref="BA31:BC31"/>
    <mergeCell ref="BD68:BE68"/>
    <mergeCell ref="AI81:AJ81"/>
    <mergeCell ref="BF132:BH132"/>
    <mergeCell ref="AG162:AH162"/>
    <mergeCell ref="R99:X99"/>
    <mergeCell ref="AW50:AX50"/>
    <mergeCell ref="C146:F146"/>
    <mergeCell ref="M26:Q26"/>
    <mergeCell ref="Y112:AD112"/>
    <mergeCell ref="AK139:AL139"/>
    <mergeCell ref="AG33:AH33"/>
    <mergeCell ref="AM122:AO122"/>
    <mergeCell ref="G8:I8"/>
    <mergeCell ref="R101:X101"/>
    <mergeCell ref="AR39:AT39"/>
    <mergeCell ref="AR14:AT14"/>
    <mergeCell ref="AG43:AH43"/>
    <mergeCell ref="Y114:AD114"/>
    <mergeCell ref="J161:L161"/>
    <mergeCell ref="BI17:BK17"/>
    <mergeCell ref="J167:L167"/>
    <mergeCell ref="AY27:AZ27"/>
    <mergeCell ref="BA91:BC91"/>
    <mergeCell ref="AG35:AH35"/>
    <mergeCell ref="M171:Q171"/>
    <mergeCell ref="C181:F181"/>
    <mergeCell ref="G10:I10"/>
    <mergeCell ref="AP87:AQ87"/>
    <mergeCell ref="BA57:BC57"/>
    <mergeCell ref="AG34:AH34"/>
    <mergeCell ref="BI19:BK19"/>
    <mergeCell ref="AK172:AL172"/>
    <mergeCell ref="AI99:AJ99"/>
    <mergeCell ref="M173:Q173"/>
    <mergeCell ref="C174:F174"/>
    <mergeCell ref="J162:L162"/>
    <mergeCell ref="BF160:BH160"/>
    <mergeCell ref="AY22:AZ22"/>
    <mergeCell ref="C18:F18"/>
    <mergeCell ref="BA86:BC86"/>
    <mergeCell ref="AE3:AF3"/>
    <mergeCell ref="AK165:AL165"/>
    <mergeCell ref="AU187:AV187"/>
    <mergeCell ref="AG59:AH59"/>
    <mergeCell ref="AP88:AQ88"/>
    <mergeCell ref="AP82:AQ82"/>
    <mergeCell ref="AE117:AF117"/>
    <mergeCell ref="J164:L164"/>
    <mergeCell ref="A133:B133"/>
    <mergeCell ref="BF193:BH193"/>
    <mergeCell ref="AR65:AT65"/>
    <mergeCell ref="Y140:AD140"/>
    <mergeCell ref="R29:X29"/>
    <mergeCell ref="AI94:AJ94"/>
    <mergeCell ref="AU189:AV189"/>
    <mergeCell ref="AY9:AZ9"/>
    <mergeCell ref="AG61:AH61"/>
    <mergeCell ref="AY167:AZ167"/>
    <mergeCell ref="AM133:AO133"/>
    <mergeCell ref="AM108:AO108"/>
    <mergeCell ref="G150:I150"/>
    <mergeCell ref="AR50:AT50"/>
    <mergeCell ref="J189:L189"/>
    <mergeCell ref="R31:X31"/>
    <mergeCell ref="AY11:AZ11"/>
    <mergeCell ref="BA75:BC75"/>
    <mergeCell ref="AI125:AJ125"/>
    <mergeCell ref="AR60:AT60"/>
    <mergeCell ref="AY169:AZ169"/>
    <mergeCell ref="AM135:AO135"/>
    <mergeCell ref="G21:I21"/>
    <mergeCell ref="R24:X24"/>
    <mergeCell ref="C44:F44"/>
    <mergeCell ref="AG62:AH62"/>
    <mergeCell ref="J180:L180"/>
    <mergeCell ref="AP17:AQ17"/>
    <mergeCell ref="J57:L57"/>
    <mergeCell ref="C80:F80"/>
    <mergeCell ref="AY40:AZ40"/>
    <mergeCell ref="BA104:BC104"/>
    <mergeCell ref="AI127:AJ127"/>
    <mergeCell ref="AY162:AZ162"/>
    <mergeCell ref="G23:I23"/>
    <mergeCell ref="J146:L146"/>
    <mergeCell ref="R26:X26"/>
    <mergeCell ref="M103:Q103"/>
    <mergeCell ref="BA70:BC70"/>
    <mergeCell ref="AI120:AJ120"/>
    <mergeCell ref="Y39:AD39"/>
    <mergeCell ref="AP141:AQ141"/>
    <mergeCell ref="BA106:BC106"/>
    <mergeCell ref="M96:Q96"/>
    <mergeCell ref="BF179:BH179"/>
    <mergeCell ref="AP12:AQ12"/>
    <mergeCell ref="BA105:BC105"/>
    <mergeCell ref="AI147:AJ147"/>
    <mergeCell ref="AW8:AX8"/>
    <mergeCell ref="BA99:BC99"/>
    <mergeCell ref="AY37:AZ37"/>
    <mergeCell ref="AW2:AX2"/>
    <mergeCell ref="AE16:AF16"/>
    <mergeCell ref="AP143:AQ143"/>
    <mergeCell ref="G18:I18"/>
    <mergeCell ref="R171:X171"/>
    <mergeCell ref="M98:Q98"/>
    <mergeCell ref="AR84:AT84"/>
    <mergeCell ref="A146:B146"/>
    <mergeCell ref="Y159:AD159"/>
    <mergeCell ref="AP14:AQ14"/>
    <mergeCell ref="AR78:AT78"/>
    <mergeCell ref="Y153:AD153"/>
    <mergeCell ref="C131:F131"/>
    <mergeCell ref="BD165:BE165"/>
    <mergeCell ref="AE18:AF18"/>
    <mergeCell ref="AY66:AZ66"/>
    <mergeCell ref="AI178:AJ178"/>
    <mergeCell ref="AK25:AL25"/>
    <mergeCell ref="AM146:AO146"/>
    <mergeCell ref="AR80:AT80"/>
    <mergeCell ref="AI49:AJ49"/>
    <mergeCell ref="Y65:AD65"/>
    <mergeCell ref="G163:I163"/>
    <mergeCell ref="AY93:AZ93"/>
    <mergeCell ref="R44:X44"/>
    <mergeCell ref="AY68:AZ68"/>
    <mergeCell ref="G76:I76"/>
    <mergeCell ref="BD166:BE166"/>
    <mergeCell ref="C126:F126"/>
    <mergeCell ref="BI91:BK91"/>
    <mergeCell ref="AI173:AJ173"/>
    <mergeCell ref="G165:I165"/>
    <mergeCell ref="Y23:AD23"/>
    <mergeCell ref="BD37:BE37"/>
    <mergeCell ref="BI84:BK84"/>
    <mergeCell ref="AK115:AL115"/>
    <mergeCell ref="C117:F117"/>
    <mergeCell ref="M116:Q116"/>
    <mergeCell ref="AE69:AF69"/>
    <mergeCell ref="G77:I77"/>
    <mergeCell ref="AP154:AQ154"/>
    <mergeCell ref="BI86:BK86"/>
    <mergeCell ref="AK108:AL108"/>
    <mergeCell ref="A199:B199"/>
    <mergeCell ref="AM3:AN3"/>
    <mergeCell ref="AP25:AQ25"/>
    <mergeCell ref="R95:X95"/>
    <mergeCell ref="AW46:AX46"/>
    <mergeCell ref="AW21:AX21"/>
    <mergeCell ref="R70:X70"/>
    <mergeCell ref="C115:F115"/>
    <mergeCell ref="AG133:AH133"/>
    <mergeCell ref="AR8:AT8"/>
    <mergeCell ref="Y83:AD83"/>
    <mergeCell ref="AP156:AQ156"/>
    <mergeCell ref="R97:X97"/>
    <mergeCell ref="AW48:AX48"/>
    <mergeCell ref="C150:F150"/>
    <mergeCell ref="C144:F144"/>
    <mergeCell ref="BD184:BE184"/>
    <mergeCell ref="AY104:AZ104"/>
    <mergeCell ref="AR10:AT10"/>
    <mergeCell ref="Y85:AD85"/>
    <mergeCell ref="AI191:AJ191"/>
    <mergeCell ref="AR63:AT63"/>
    <mergeCell ref="J132:L132"/>
    <mergeCell ref="AE72:AF72"/>
    <mergeCell ref="G87:I87"/>
    <mergeCell ref="R96:X96"/>
    <mergeCell ref="AG128:AH128"/>
    <mergeCell ref="M142:Q142"/>
    <mergeCell ref="AY112:AZ112"/>
    <mergeCell ref="Y78:AD78"/>
    <mergeCell ref="AG164:AH164"/>
    <mergeCell ref="BA176:BC176"/>
    <mergeCell ref="BI15:BK15"/>
    <mergeCell ref="G95:I95"/>
    <mergeCell ref="G89:I89"/>
    <mergeCell ref="R98:X98"/>
    <mergeCell ref="AY122:AZ122"/>
    <mergeCell ref="C145:F145"/>
    <mergeCell ref="A41:B41"/>
    <mergeCell ref="M144:Q144"/>
    <mergeCell ref="M169:Q169"/>
    <mergeCell ref="BD39:BE39"/>
    <mergeCell ref="BI104:BK104"/>
    <mergeCell ref="BD179:BE179"/>
    <mergeCell ref="Y80:AD80"/>
    <mergeCell ref="AI192:AJ192"/>
    <mergeCell ref="G88:I88"/>
    <mergeCell ref="AK161:AL161"/>
    <mergeCell ref="AP84:AQ84"/>
    <mergeCell ref="AP78:AQ78"/>
    <mergeCell ref="BA171:BC171"/>
    <mergeCell ref="R123:X123"/>
    <mergeCell ref="AW74:AX74"/>
    <mergeCell ref="AE88:AF88"/>
    <mergeCell ref="M12:Q12"/>
    <mergeCell ref="AE82:AF82"/>
    <mergeCell ref="G90:I90"/>
    <mergeCell ref="M164:Q164"/>
    <mergeCell ref="AP86:AQ86"/>
    <mergeCell ref="AR150:AT150"/>
    <mergeCell ref="AP80:AQ80"/>
    <mergeCell ref="BE2:BF2"/>
    <mergeCell ref="AW76:AX76"/>
    <mergeCell ref="AY138:AZ138"/>
    <mergeCell ref="C134:F134"/>
    <mergeCell ref="R108:X108"/>
    <mergeCell ref="M41:Q41"/>
    <mergeCell ref="AY132:AZ132"/>
    <mergeCell ref="AG146:AH146"/>
    <mergeCell ref="G115:I115"/>
    <mergeCell ref="AR152:AT152"/>
    <mergeCell ref="AE83:AF83"/>
    <mergeCell ref="BD21:BE21"/>
    <mergeCell ref="C163:F163"/>
    <mergeCell ref="R20:X20"/>
    <mergeCell ref="AG58:AH58"/>
    <mergeCell ref="AR23:AT23"/>
    <mergeCell ref="AR145:AT145"/>
    <mergeCell ref="M66:Q66"/>
    <mergeCell ref="AI123:AJ123"/>
    <mergeCell ref="M197:Q197"/>
    <mergeCell ref="R109:X109"/>
    <mergeCell ref="BI157:BK157"/>
    <mergeCell ref="J186:L186"/>
    <mergeCell ref="K3:O3"/>
    <mergeCell ref="G141:I141"/>
    <mergeCell ref="R22:X22"/>
    <mergeCell ref="AG60:AH60"/>
    <mergeCell ref="AR147:AT147"/>
    <mergeCell ref="BI34:BK34"/>
    <mergeCell ref="M68:Q68"/>
    <mergeCell ref="AI116:AJ116"/>
    <mergeCell ref="Y10:AD10"/>
    <mergeCell ref="BI28:BK28"/>
    <mergeCell ref="AP106:AQ106"/>
    <mergeCell ref="M188:Q188"/>
    <mergeCell ref="C158:F158"/>
    <mergeCell ref="AU29:AV29"/>
    <mergeCell ref="M67:Q67"/>
    <mergeCell ref="BF175:BH175"/>
    <mergeCell ref="AI118:AJ118"/>
    <mergeCell ref="AK180:AL180"/>
    <mergeCell ref="BI30:BK30"/>
    <mergeCell ref="AE12:AF12"/>
    <mergeCell ref="AP114:AQ114"/>
    <mergeCell ref="G14:I14"/>
    <mergeCell ref="AU31:AV31"/>
    <mergeCell ref="R167:X167"/>
    <mergeCell ref="M69:Q69"/>
    <mergeCell ref="AW87:AX87"/>
    <mergeCell ref="BI29:BK29"/>
    <mergeCell ref="Y155:AD155"/>
    <mergeCell ref="BA103:BC103"/>
    <mergeCell ref="J173:L173"/>
    <mergeCell ref="AW6:AX6"/>
    <mergeCell ref="BA97:BC97"/>
    <mergeCell ref="AE14:AF14"/>
    <mergeCell ref="AY62:AZ62"/>
    <mergeCell ref="AG70:AH70"/>
    <mergeCell ref="AR163:AT163"/>
    <mergeCell ref="R169:X169"/>
    <mergeCell ref="C191:F191"/>
    <mergeCell ref="AK21:AL21"/>
    <mergeCell ref="AW89:AX89"/>
    <mergeCell ref="AY176:AZ176"/>
    <mergeCell ref="AR76:AT76"/>
    <mergeCell ref="AY28:AZ28"/>
    <mergeCell ref="Y151:AD151"/>
    <mergeCell ref="G159:I159"/>
    <mergeCell ref="BI54:BK54"/>
    <mergeCell ref="G134:I134"/>
    <mergeCell ref="AY64:AZ64"/>
    <mergeCell ref="R162:X162"/>
    <mergeCell ref="BI185:BK185"/>
    <mergeCell ref="AR165:AT165"/>
    <mergeCell ref="AI134:AJ134"/>
    <mergeCell ref="AY186:AZ186"/>
    <mergeCell ref="J198:L198"/>
    <mergeCell ref="BD103:BE103"/>
    <mergeCell ref="Y150:AD150"/>
    <mergeCell ref="AK50:AL50"/>
    <mergeCell ref="A116:B116"/>
    <mergeCell ref="AG71:AH71"/>
    <mergeCell ref="G161:I161"/>
    <mergeCell ref="BF17:BH17"/>
    <mergeCell ref="BI56:BK56"/>
    <mergeCell ref="R164:X164"/>
    <mergeCell ref="BI176:BK176"/>
    <mergeCell ref="AR77:AT77"/>
    <mergeCell ref="Y152:AD152"/>
    <mergeCell ref="J199:L199"/>
    <mergeCell ref="AK52:AL52"/>
    <mergeCell ref="BA129:BC129"/>
    <mergeCell ref="R35:X35"/>
    <mergeCell ref="BF19:BH19"/>
    <mergeCell ref="BF46:BH46"/>
    <mergeCell ref="AP150:AQ150"/>
    <mergeCell ref="AP125:AQ125"/>
    <mergeCell ref="M122:Q122"/>
    <mergeCell ref="AE154:AF154"/>
    <mergeCell ref="AU42:AV42"/>
    <mergeCell ref="BA131:BC131"/>
    <mergeCell ref="BF12:BH12"/>
    <mergeCell ref="G156:I156"/>
    <mergeCell ref="BA87:BC87"/>
    <mergeCell ref="BF48:BH48"/>
    <mergeCell ref="AW17:AX17"/>
    <mergeCell ref="R66:X66"/>
    <mergeCell ref="AU77:AV77"/>
    <mergeCell ref="AW11:AX11"/>
    <mergeCell ref="AE25:AF25"/>
    <mergeCell ref="AK53:AL53"/>
    <mergeCell ref="BD7:BE7"/>
    <mergeCell ref="AP152:AQ152"/>
    <mergeCell ref="R188:X188"/>
    <mergeCell ref="AE183:AF183"/>
    <mergeCell ref="AM170:AO170"/>
    <mergeCell ref="M107:Q107"/>
    <mergeCell ref="BF14:BH14"/>
    <mergeCell ref="AE35:AF35"/>
    <mergeCell ref="G187:I187"/>
    <mergeCell ref="AR87:AT87"/>
    <mergeCell ref="R68:X68"/>
    <mergeCell ref="AW19:AX19"/>
    <mergeCell ref="AW141:AX141"/>
    <mergeCell ref="R190:X190"/>
    <mergeCell ref="AE149:AF149"/>
    <mergeCell ref="AY75:AZ75"/>
    <mergeCell ref="C53:F53"/>
    <mergeCell ref="AK78:AL78"/>
    <mergeCell ref="AM172:AO172"/>
    <mergeCell ref="G180:I180"/>
    <mergeCell ref="AR95:AT95"/>
    <mergeCell ref="R61:X61"/>
    <mergeCell ref="AG124:AH124"/>
    <mergeCell ref="AR89:AT89"/>
    <mergeCell ref="M138:Q138"/>
    <mergeCell ref="Y170:AD170"/>
    <mergeCell ref="AW143:AX143"/>
    <mergeCell ref="AP176:AQ176"/>
    <mergeCell ref="Y49:AD49"/>
    <mergeCell ref="AE180:AF180"/>
    <mergeCell ref="Y163:AD163"/>
    <mergeCell ref="AG126:AH126"/>
    <mergeCell ref="BA113:BC113"/>
    <mergeCell ref="A12:B12"/>
    <mergeCell ref="AW14:AX14"/>
    <mergeCell ref="BI100:BK100"/>
    <mergeCell ref="M140:Q140"/>
    <mergeCell ref="C141:F141"/>
    <mergeCell ref="Y76:AD76"/>
    <mergeCell ref="J129:L129"/>
    <mergeCell ref="AP178:AQ178"/>
    <mergeCell ref="G84:I84"/>
    <mergeCell ref="AU95:AV95"/>
    <mergeCell ref="BI110:BK110"/>
    <mergeCell ref="AR90:AT90"/>
    <mergeCell ref="M133:Q133"/>
    <mergeCell ref="C143:F143"/>
    <mergeCell ref="AI190:AJ190"/>
    <mergeCell ref="A14:B14"/>
    <mergeCell ref="AP49:AQ49"/>
    <mergeCell ref="BI102:BK102"/>
    <mergeCell ref="BA142:BC142"/>
    <mergeCell ref="BA167:BC167"/>
    <mergeCell ref="G86:I86"/>
    <mergeCell ref="BA55:BC55"/>
    <mergeCell ref="AU97:AV97"/>
    <mergeCell ref="AW159:AX159"/>
    <mergeCell ref="M135:Q135"/>
    <mergeCell ref="AR121:AT121"/>
    <mergeCell ref="Y196:AD196"/>
    <mergeCell ref="AM14:AO14"/>
    <mergeCell ref="AR115:AT115"/>
    <mergeCell ref="A43:B43"/>
    <mergeCell ref="AW72:AX72"/>
    <mergeCell ref="BA144:BC144"/>
    <mergeCell ref="AU96:AV96"/>
    <mergeCell ref="BA169:BC169"/>
    <mergeCell ref="J59:L59"/>
    <mergeCell ref="AM13:AO13"/>
    <mergeCell ref="AW161:AX161"/>
    <mergeCell ref="AE79:AF79"/>
    <mergeCell ref="AM43:AO43"/>
    <mergeCell ref="AY136:AZ136"/>
    <mergeCell ref="AW154:AX154"/>
    <mergeCell ref="AR116:AT116"/>
    <mergeCell ref="R122:X122"/>
    <mergeCell ref="AE81:AF81"/>
    <mergeCell ref="R105:X105"/>
    <mergeCell ref="AY129:AZ129"/>
    <mergeCell ref="BI128:BK128"/>
    <mergeCell ref="AG181:AH181"/>
    <mergeCell ref="M193:Q193"/>
    <mergeCell ref="BD46:BE46"/>
    <mergeCell ref="AW156:AX156"/>
    <mergeCell ref="AR143:AT143"/>
    <mergeCell ref="BA37:BC37"/>
    <mergeCell ref="AR118:AT118"/>
    <mergeCell ref="G148:I148"/>
    <mergeCell ref="R107:X107"/>
    <mergeCell ref="AE110:AF110"/>
    <mergeCell ref="AK3:AL3"/>
    <mergeCell ref="AY131:AZ131"/>
    <mergeCell ref="AG139:AH139"/>
    <mergeCell ref="A25:B25"/>
    <mergeCell ref="M153:Q153"/>
    <mergeCell ref="K1:O1"/>
    <mergeCell ref="BF112:BH112"/>
    <mergeCell ref="G114:I114"/>
    <mergeCell ref="C154:F154"/>
    <mergeCell ref="AP191:AQ191"/>
    <mergeCell ref="BI123:BK123"/>
    <mergeCell ref="BA197:BC197"/>
    <mergeCell ref="C156:F156"/>
    <mergeCell ref="AU27:AV27"/>
    <mergeCell ref="AM25:AO25"/>
    <mergeCell ref="R138:X138"/>
    <mergeCell ref="AE141:AF141"/>
    <mergeCell ref="M65:Q65"/>
    <mergeCell ref="AW83:AX83"/>
    <mergeCell ref="AE135:AF135"/>
    <mergeCell ref="G143:I143"/>
    <mergeCell ref="AG170:AH170"/>
    <mergeCell ref="G99:I99"/>
    <mergeCell ref="Y120:AD120"/>
    <mergeCell ref="BA68:BC68"/>
    <mergeCell ref="AE107:AF107"/>
    <mergeCell ref="AM33:AO33"/>
    <mergeCell ref="AR134:AT134"/>
    <mergeCell ref="AG172:AH172"/>
    <mergeCell ref="AW85:AX85"/>
    <mergeCell ref="AE99:AF99"/>
    <mergeCell ref="BI27:BK27"/>
    <mergeCell ref="AG199:AH199"/>
    <mergeCell ref="AR169:AT169"/>
    <mergeCell ref="G130:I130"/>
    <mergeCell ref="AU22:AV22"/>
    <mergeCell ref="AW84:AX84"/>
    <mergeCell ref="R133:X133"/>
    <mergeCell ref="AE136:AF136"/>
    <mergeCell ref="AG165:AH165"/>
    <mergeCell ref="M179:Q179"/>
    <mergeCell ref="C180:F180"/>
    <mergeCell ref="BD74:BE74"/>
    <mergeCell ref="Y121:AD121"/>
    <mergeCell ref="AY149:AZ149"/>
    <mergeCell ref="A112:B112"/>
    <mergeCell ref="Y115:AD115"/>
    <mergeCell ref="BI52:BK52"/>
    <mergeCell ref="AM28:AO28"/>
    <mergeCell ref="G132:I132"/>
    <mergeCell ref="R135:X135"/>
    <mergeCell ref="C182:F182"/>
    <mergeCell ref="BD76:BE76"/>
    <mergeCell ref="C5:F6"/>
    <mergeCell ref="A114:B114"/>
    <mergeCell ref="AK23:AL23"/>
    <mergeCell ref="J195:L195"/>
    <mergeCell ref="G125:I125"/>
    <mergeCell ref="AU167:AV167"/>
    <mergeCell ref="C200:F200"/>
    <mergeCell ref="AP121:AQ121"/>
    <mergeCell ref="BI174:BK174"/>
    <mergeCell ref="AP115:AQ115"/>
    <mergeCell ref="A107:B107"/>
    <mergeCell ref="AY144:AZ144"/>
    <mergeCell ref="AW111:AX111"/>
    <mergeCell ref="AU38:AV38"/>
    <mergeCell ref="BI53:BK53"/>
    <mergeCell ref="M49:Q49"/>
    <mergeCell ref="AE125:AF125"/>
    <mergeCell ref="BF8:BH8"/>
    <mergeCell ref="G127:I127"/>
    <mergeCell ref="AG41:AH41"/>
    <mergeCell ref="AU169:AV169"/>
    <mergeCell ref="J197:L197"/>
    <mergeCell ref="BI167:BK167"/>
    <mergeCell ref="AU48:AV48"/>
    <mergeCell ref="AP123:AQ123"/>
    <mergeCell ref="J11:L11"/>
    <mergeCell ref="AR187:AT187"/>
    <mergeCell ref="AK43:AL43"/>
    <mergeCell ref="AK18:AL18"/>
    <mergeCell ref="AU40:AV40"/>
    <mergeCell ref="BI55:BK55"/>
    <mergeCell ref="AU162:AV162"/>
    <mergeCell ref="AY175:AZ175"/>
    <mergeCell ref="M78:Q78"/>
    <mergeCell ref="BD92:BE92"/>
    <mergeCell ref="R186:X186"/>
    <mergeCell ref="AW112:AX112"/>
    <mergeCell ref="AR189:AT189"/>
    <mergeCell ref="AK51:AL51"/>
    <mergeCell ref="AE120:AF120"/>
    <mergeCell ref="C24:F24"/>
    <mergeCell ref="R153:X153"/>
    <mergeCell ref="AE156:AF156"/>
    <mergeCell ref="BF39:BH39"/>
    <mergeCell ref="AR188:AT188"/>
    <mergeCell ref="AR182:AT182"/>
    <mergeCell ref="AI101:AJ101"/>
    <mergeCell ref="AK163:AL163"/>
    <mergeCell ref="R146:X146"/>
    <mergeCell ref="AY170:AZ170"/>
    <mergeCell ref="BI194:BK194"/>
    <mergeCell ref="AS2:AT2"/>
    <mergeCell ref="C26:F26"/>
    <mergeCell ref="AK76:AL76"/>
    <mergeCell ref="BD87:BE87"/>
    <mergeCell ref="AU195:AV195"/>
    <mergeCell ref="J39:L39"/>
    <mergeCell ref="BD6:BE6"/>
    <mergeCell ref="BI71:BK71"/>
    <mergeCell ref="Y47:AD47"/>
    <mergeCell ref="AY197:AZ197"/>
    <mergeCell ref="AY172:AZ172"/>
    <mergeCell ref="AU66:AV66"/>
    <mergeCell ref="Y161:AD161"/>
    <mergeCell ref="BD89:BE89"/>
    <mergeCell ref="BA138:BC138"/>
    <mergeCell ref="BF72:BH72"/>
    <mergeCell ref="BI195:BK195"/>
    <mergeCell ref="G5:I6"/>
    <mergeCell ref="BF28:BH28"/>
    <mergeCell ref="AK77:AL77"/>
    <mergeCell ref="AM141:AO141"/>
    <mergeCell ref="AP134:AQ134"/>
    <mergeCell ref="AU68:AV68"/>
    <mergeCell ref="AR58:AT58"/>
    <mergeCell ref="AW130:AX130"/>
    <mergeCell ref="BF65:BH65"/>
    <mergeCell ref="BI66:BK66"/>
    <mergeCell ref="BA140:BC140"/>
    <mergeCell ref="A39:B39"/>
    <mergeCell ref="BD145:BE145"/>
    <mergeCell ref="Y192:AD192"/>
    <mergeCell ref="BI197:BK197"/>
    <mergeCell ref="AG113:AH113"/>
    <mergeCell ref="AW157:AX157"/>
    <mergeCell ref="AI29:AJ29"/>
    <mergeCell ref="J65:L65"/>
    <mergeCell ref="AE50:AF50"/>
    <mergeCell ref="G196:I196"/>
    <mergeCell ref="R199:X199"/>
    <mergeCell ref="AR112:AT112"/>
    <mergeCell ref="BD18:BE18"/>
    <mergeCell ref="BD140:BE140"/>
    <mergeCell ref="Y187:AD187"/>
    <mergeCell ref="A153:B153"/>
    <mergeCell ref="AG108:AH108"/>
    <mergeCell ref="BF54:BH54"/>
    <mergeCell ref="BD17:BE17"/>
    <mergeCell ref="AW152:AX152"/>
    <mergeCell ref="AI24:AJ24"/>
    <mergeCell ref="AU119:AV119"/>
    <mergeCell ref="BD148:BE148"/>
    <mergeCell ref="AR114:AT114"/>
    <mergeCell ref="Y189:AD189"/>
    <mergeCell ref="AK89:AL89"/>
    <mergeCell ref="BI126:BK126"/>
    <mergeCell ref="G51:I51"/>
    <mergeCell ref="BF83:BH83"/>
    <mergeCell ref="AI26:AJ26"/>
    <mergeCell ref="AK88:AL88"/>
    <mergeCell ref="AW183:AX183"/>
    <mergeCell ref="BI119:BK119"/>
    <mergeCell ref="BA193:BC193"/>
    <mergeCell ref="Z2:AD2"/>
    <mergeCell ref="BF49:BH49"/>
    <mergeCell ref="BA168:BC168"/>
    <mergeCell ref="BF110:BH110"/>
    <mergeCell ref="BF85:BH85"/>
    <mergeCell ref="AW54:AX54"/>
    <mergeCell ref="AU114:AV114"/>
    <mergeCell ref="AW176:AX176"/>
    <mergeCell ref="AK90:AL90"/>
    <mergeCell ref="A181:B181"/>
    <mergeCell ref="AP189:AQ189"/>
    <mergeCell ref="C124:F124"/>
    <mergeCell ref="AR130:AT130"/>
    <mergeCell ref="AU122:AV122"/>
    <mergeCell ref="BA153:BC153"/>
    <mergeCell ref="A52:B52"/>
    <mergeCell ref="BD158:BE158"/>
    <mergeCell ref="AW56:AX56"/>
    <mergeCell ref="J112:L112"/>
    <mergeCell ref="AI171:AJ171"/>
    <mergeCell ref="AW178:AX178"/>
    <mergeCell ref="C90:F90"/>
    <mergeCell ref="AI42:AJ42"/>
    <mergeCell ref="AR132:AT132"/>
    <mergeCell ref="AM58:AO58"/>
    <mergeCell ref="J78:L78"/>
    <mergeCell ref="BD160:BE160"/>
    <mergeCell ref="AG161:AH161"/>
    <mergeCell ref="AG197:AH197"/>
    <mergeCell ref="A83:B83"/>
    <mergeCell ref="BD159:BE159"/>
    <mergeCell ref="AM24:AO24"/>
    <mergeCell ref="C119:F119"/>
    <mergeCell ref="AI44:AJ44"/>
    <mergeCell ref="AM60:AO60"/>
    <mergeCell ref="A49:B49"/>
    <mergeCell ref="M177:Q177"/>
    <mergeCell ref="BD72:BE72"/>
    <mergeCell ref="BI137:BK137"/>
    <mergeCell ref="BA2:BB2"/>
    <mergeCell ref="AK19:AL19"/>
    <mergeCell ref="AK141:AL141"/>
    <mergeCell ref="AU138:AV138"/>
    <mergeCell ref="AU132:AV132"/>
    <mergeCell ref="BD161:BE161"/>
    <mergeCell ref="AR127:AT127"/>
    <mergeCell ref="M170:Q170"/>
    <mergeCell ref="BA179:BC179"/>
    <mergeCell ref="AK12:AL12"/>
    <mergeCell ref="A78:B78"/>
    <mergeCell ref="BI139:BK139"/>
    <mergeCell ref="AU9:AV9"/>
    <mergeCell ref="AK143:AL143"/>
    <mergeCell ref="G123:I123"/>
    <mergeCell ref="AW196:AX196"/>
    <mergeCell ref="BF15:BH15"/>
    <mergeCell ref="M172:Q172"/>
    <mergeCell ref="AM84:AO84"/>
    <mergeCell ref="C108:F108"/>
    <mergeCell ref="AK14:AL14"/>
    <mergeCell ref="A80:B80"/>
    <mergeCell ref="AU133:AV133"/>
    <mergeCell ref="AE150:AF150"/>
    <mergeCell ref="AM50:AO50"/>
    <mergeCell ref="AW198:AX198"/>
    <mergeCell ref="AM86:AO86"/>
    <mergeCell ref="AE116:AF116"/>
    <mergeCell ref="AM80:AO80"/>
    <mergeCell ref="C20:F20"/>
    <mergeCell ref="AU135:AV135"/>
    <mergeCell ref="AE152:AF152"/>
    <mergeCell ref="AY173:AZ173"/>
    <mergeCell ref="M46:Q46"/>
    <mergeCell ref="AW191:AX191"/>
    <mergeCell ref="J8:L8"/>
    <mergeCell ref="BF10:BH10"/>
    <mergeCell ref="C109:F109"/>
    <mergeCell ref="AM79:AO79"/>
    <mergeCell ref="AW110:AX110"/>
    <mergeCell ref="AK159:AL159"/>
    <mergeCell ref="AE118:AF118"/>
    <mergeCell ref="AY166:AZ166"/>
    <mergeCell ref="AG180:AH180"/>
    <mergeCell ref="BI165:BK165"/>
    <mergeCell ref="C22:F22"/>
    <mergeCell ref="BD83:BE83"/>
    <mergeCell ref="AI96:AJ96"/>
    <mergeCell ref="Y130:AD130"/>
    <mergeCell ref="J10:L10"/>
    <mergeCell ref="AM81:AO81"/>
    <mergeCell ref="AY168:AZ168"/>
    <mergeCell ref="AE147:AF147"/>
    <mergeCell ref="M14:Q14"/>
    <mergeCell ref="AU62:AV62"/>
    <mergeCell ref="BF155:BH155"/>
    <mergeCell ref="C51:F51"/>
    <mergeCell ref="BD85:BE85"/>
    <mergeCell ref="AI98:AJ98"/>
    <mergeCell ref="BF149:BH149"/>
    <mergeCell ref="AK154:AL154"/>
    <mergeCell ref="BI160:BK160"/>
    <mergeCell ref="AU64:AV64"/>
    <mergeCell ref="BF157:BH157"/>
    <mergeCell ref="BF151:BH151"/>
    <mergeCell ref="AW120:AX120"/>
    <mergeCell ref="AK156:AL156"/>
    <mergeCell ref="C38:F38"/>
    <mergeCell ref="AG50:AH50"/>
    <mergeCell ref="BF150:BH150"/>
    <mergeCell ref="AM70:AO70"/>
    <mergeCell ref="A124:B124"/>
    <mergeCell ref="AY8:AZ8"/>
    <mergeCell ref="BD109:BE109"/>
    <mergeCell ref="AY184:AZ184"/>
    <mergeCell ref="AU146:AV146"/>
    <mergeCell ref="AM10:AO10"/>
    <mergeCell ref="AM63:AO63"/>
    <mergeCell ref="BF152:BH152"/>
    <mergeCell ref="AW121:AX121"/>
    <mergeCell ref="R170:X170"/>
    <mergeCell ref="AE173:AF173"/>
    <mergeCell ref="AM99:AO99"/>
    <mergeCell ref="BD111:BE111"/>
    <mergeCell ref="C33:F33"/>
    <mergeCell ref="A149:B149"/>
    <mergeCell ref="AE165:AF165"/>
    <mergeCell ref="J21:L21"/>
    <mergeCell ref="R172:X172"/>
    <mergeCell ref="AR51:AT51"/>
    <mergeCell ref="AI20:AJ20"/>
    <mergeCell ref="M25:Q25"/>
    <mergeCell ref="AY39:AZ39"/>
    <mergeCell ref="C35:F35"/>
    <mergeCell ref="AG53:AH53"/>
    <mergeCell ref="A151:B151"/>
    <mergeCell ref="J23:L23"/>
    <mergeCell ref="BF79:BH79"/>
    <mergeCell ref="G198:I198"/>
    <mergeCell ref="AI22:AJ22"/>
    <mergeCell ref="AK84:AL84"/>
    <mergeCell ref="AK59:AL59"/>
    <mergeCell ref="A150:B150"/>
    <mergeCell ref="A144:B144"/>
    <mergeCell ref="AU75:AV75"/>
    <mergeCell ref="AG78:AH78"/>
    <mergeCell ref="BF81:BH81"/>
    <mergeCell ref="AP160:AQ160"/>
    <mergeCell ref="AK86:AL86"/>
    <mergeCell ref="AM150:AO150"/>
    <mergeCell ref="A152:B152"/>
    <mergeCell ref="R12:X12"/>
    <mergeCell ref="AK80:AL80"/>
    <mergeCell ref="C59:F59"/>
    <mergeCell ref="AE191:AF191"/>
    <mergeCell ref="AU199:AV199"/>
    <mergeCell ref="M115:Q115"/>
    <mergeCell ref="AW174:AX174"/>
    <mergeCell ref="Y30:AD30"/>
    <mergeCell ref="AM152:AO152"/>
    <mergeCell ref="G38:I38"/>
    <mergeCell ref="R41:X41"/>
    <mergeCell ref="C61:F61"/>
    <mergeCell ref="AY21:AZ21"/>
    <mergeCell ref="C122:F122"/>
    <mergeCell ref="J74:L74"/>
    <mergeCell ref="BF76:BH76"/>
    <mergeCell ref="BD155:BE155"/>
    <mergeCell ref="AY23:AZ23"/>
    <mergeCell ref="J103:L103"/>
    <mergeCell ref="BA6:BC6"/>
    <mergeCell ref="BI108:BK108"/>
    <mergeCell ref="AM147:AO147"/>
    <mergeCell ref="A172:B172"/>
    <mergeCell ref="BD157:BE157"/>
    <mergeCell ref="AP29:AQ29"/>
    <mergeCell ref="BD151:BE151"/>
    <mergeCell ref="AI164:AJ164"/>
    <mergeCell ref="P2:T2"/>
    <mergeCell ref="AE33:AF33"/>
    <mergeCell ref="A74:B74"/>
    <mergeCell ref="BA175:BC175"/>
    <mergeCell ref="AK114:AL114"/>
    <mergeCell ref="AI41:AJ41"/>
    <mergeCell ref="BF92:BH92"/>
    <mergeCell ref="AM178:AO178"/>
    <mergeCell ref="AI35:AJ35"/>
    <mergeCell ref="A163:B163"/>
    <mergeCell ref="AP31:AQ31"/>
    <mergeCell ref="BF102:BH102"/>
    <mergeCell ref="R59:X59"/>
    <mergeCell ref="A76:B76"/>
    <mergeCell ref="BA177:BC177"/>
    <mergeCell ref="AU129:AV129"/>
    <mergeCell ref="J92:L92"/>
    <mergeCell ref="BF94:BH94"/>
    <mergeCell ref="AK99:AL99"/>
    <mergeCell ref="AM163:AO163"/>
    <mergeCell ref="R25:X25"/>
    <mergeCell ref="AI66:AJ66"/>
    <mergeCell ref="AY110:AZ110"/>
    <mergeCell ref="Y38:AD38"/>
    <mergeCell ref="AU131:AV131"/>
    <mergeCell ref="AG3:AH3"/>
    <mergeCell ref="BF6:BH6"/>
    <mergeCell ref="AM165:AO165"/>
    <mergeCell ref="BD183:BE183"/>
    <mergeCell ref="C105:F105"/>
    <mergeCell ref="AI68:AJ68"/>
    <mergeCell ref="AU2:AV2"/>
    <mergeCell ref="R113:X113"/>
    <mergeCell ref="J87:L87"/>
    <mergeCell ref="BA17:BC17"/>
    <mergeCell ref="BD54:BE54"/>
    <mergeCell ref="AI67:AJ67"/>
    <mergeCell ref="G122:I122"/>
    <mergeCell ref="AI61:AJ61"/>
    <mergeCell ref="J123:L123"/>
    <mergeCell ref="BD185:BE185"/>
    <mergeCell ref="AW189:AX189"/>
    <mergeCell ref="AM77:AO77"/>
    <mergeCell ref="AP171:AQ171"/>
    <mergeCell ref="J89:L89"/>
    <mergeCell ref="BA19:BC19"/>
    <mergeCell ref="BD56:BE56"/>
    <mergeCell ref="AI69:AJ69"/>
    <mergeCell ref="BF120:BH120"/>
    <mergeCell ref="AK125:AL125"/>
    <mergeCell ref="BI156:BK156"/>
    <mergeCell ref="AP42:AQ42"/>
    <mergeCell ref="M39:Q39"/>
    <mergeCell ref="A87:B87"/>
    <mergeCell ref="BA48:BC48"/>
    <mergeCell ref="AK152:AL152"/>
    <mergeCell ref="AK127:AL127"/>
    <mergeCell ref="AM191:AO191"/>
    <mergeCell ref="AU149:AV149"/>
    <mergeCell ref="AG21:AH21"/>
    <mergeCell ref="AR108:AT108"/>
    <mergeCell ref="BA14:BC14"/>
    <mergeCell ref="J113:L113"/>
    <mergeCell ref="A89:B89"/>
    <mergeCell ref="AU186:AV186"/>
    <mergeCell ref="J149:L149"/>
    <mergeCell ref="BF148:BH148"/>
    <mergeCell ref="J121:L121"/>
    <mergeCell ref="AR20:AT20"/>
    <mergeCell ref="Y95:AD95"/>
    <mergeCell ref="AM95:AO95"/>
    <mergeCell ref="J115:L115"/>
    <mergeCell ref="BA45:BC45"/>
    <mergeCell ref="AM89:AO89"/>
    <mergeCell ref="BD107:BE107"/>
    <mergeCell ref="AU144:AV144"/>
    <mergeCell ref="AG16:AH16"/>
    <mergeCell ref="G106:I106"/>
    <mergeCell ref="C162:F162"/>
    <mergeCell ref="BD196:BE196"/>
    <mergeCell ref="AR22:AT22"/>
    <mergeCell ref="AM97:AO97"/>
    <mergeCell ref="G105:I105"/>
    <mergeCell ref="AI122:AJ122"/>
    <mergeCell ref="AK178:AL178"/>
    <mergeCell ref="AG18:AH18"/>
    <mergeCell ref="M57:Q57"/>
    <mergeCell ref="AI105:AJ105"/>
    <mergeCell ref="AU175:AV175"/>
    <mergeCell ref="BD198:BE198"/>
    <mergeCell ref="AW91:AX91"/>
    <mergeCell ref="M29:Q29"/>
    <mergeCell ref="M23:Q23"/>
    <mergeCell ref="AK49:AL49"/>
    <mergeCell ref="AR9:AT9"/>
    <mergeCell ref="A115:B115"/>
    <mergeCell ref="AK186:AL186"/>
    <mergeCell ref="AI107:AJ107"/>
    <mergeCell ref="AP103:AQ103"/>
    <mergeCell ref="AP97:AQ97"/>
    <mergeCell ref="BF174:BH174"/>
    <mergeCell ref="AE101:AF101"/>
    <mergeCell ref="AM121:AO121"/>
    <mergeCell ref="M58:Q58"/>
    <mergeCell ref="AG163:AH163"/>
    <mergeCell ref="BF166:BH166"/>
    <mergeCell ref="AU170:AV170"/>
    <mergeCell ref="AP96:AQ96"/>
    <mergeCell ref="Y113:AD113"/>
    <mergeCell ref="AO2:AP2"/>
    <mergeCell ref="AK171:AL171"/>
    <mergeCell ref="C91:F91"/>
    <mergeCell ref="BF45:BH45"/>
    <mergeCell ref="G189:I189"/>
    <mergeCell ref="Y26:AD26"/>
    <mergeCell ref="AM123:AO123"/>
    <mergeCell ref="G34:I34"/>
    <mergeCell ref="AY151:AZ151"/>
    <mergeCell ref="AE153:AF153"/>
    <mergeCell ref="AK181:AL181"/>
    <mergeCell ref="C57:F57"/>
    <mergeCell ref="AU172:AV172"/>
    <mergeCell ref="AY17:AZ17"/>
    <mergeCell ref="AR40:AT40"/>
    <mergeCell ref="AP98:AQ98"/>
    <mergeCell ref="AE189:AF189"/>
    <mergeCell ref="BF47:BH47"/>
    <mergeCell ref="AM116:AO116"/>
    <mergeCell ref="AK196:AL196"/>
    <mergeCell ref="AO3:AP3"/>
    <mergeCell ref="AR33:AT33"/>
    <mergeCell ref="R39:X39"/>
    <mergeCell ref="AG77:AH77"/>
    <mergeCell ref="AP113:AQ113"/>
    <mergeCell ref="C86:F86"/>
    <mergeCell ref="AI11:AJ11"/>
    <mergeCell ref="BD120:BE120"/>
    <mergeCell ref="AI133:AJ133"/>
    <mergeCell ref="Y27:AD27"/>
    <mergeCell ref="BI45:BK45"/>
    <mergeCell ref="J47:L47"/>
    <mergeCell ref="AY55:AZ55"/>
    <mergeCell ref="AM118:AO118"/>
    <mergeCell ref="G29:I29"/>
    <mergeCell ref="C58:F58"/>
    <mergeCell ref="AK198:AL198"/>
    <mergeCell ref="AR35:AT35"/>
    <mergeCell ref="BF192:BH192"/>
    <mergeCell ref="AI135:AJ135"/>
    <mergeCell ref="AE29:AF29"/>
    <mergeCell ref="AK191:AL191"/>
    <mergeCell ref="J76:L76"/>
    <mergeCell ref="G31:I31"/>
    <mergeCell ref="BI46:BK46"/>
    <mergeCell ref="M42:Q42"/>
    <mergeCell ref="AP27:AQ27"/>
    <mergeCell ref="AU101:AV101"/>
    <mergeCell ref="BF194:BH194"/>
    <mergeCell ref="AK199:AL199"/>
    <mergeCell ref="AY79:AZ79"/>
    <mergeCell ref="AG87:AH87"/>
    <mergeCell ref="BF187:BH187"/>
    <mergeCell ref="R65:X65"/>
    <mergeCell ref="AM134:AO134"/>
    <mergeCell ref="AR93:AT93"/>
    <mergeCell ref="R21:X21"/>
    <mergeCell ref="AE24:AF24"/>
    <mergeCell ref="G176:I176"/>
    <mergeCell ref="Y9:AD9"/>
    <mergeCell ref="AG89:AH89"/>
    <mergeCell ref="Y167:AD167"/>
    <mergeCell ref="BF189:BH189"/>
    <mergeCell ref="AW158:AX158"/>
    <mergeCell ref="AE26:AF26"/>
    <mergeCell ref="R50:X50"/>
    <mergeCell ref="C70:F70"/>
    <mergeCell ref="AY74:AZ74"/>
    <mergeCell ref="AG82:AH82"/>
    <mergeCell ref="AG88:AH88"/>
    <mergeCell ref="Y11:AD11"/>
    <mergeCell ref="C106:F106"/>
    <mergeCell ref="G57:I57"/>
    <mergeCell ref="Y169:AD169"/>
    <mergeCell ref="AW160:AX160"/>
    <mergeCell ref="BD181:BE181"/>
    <mergeCell ref="G49:I49"/>
    <mergeCell ref="G171:I171"/>
    <mergeCell ref="AY76:AZ76"/>
    <mergeCell ref="AG90:AH90"/>
    <mergeCell ref="M129:Q129"/>
    <mergeCell ref="AI146:AJ146"/>
    <mergeCell ref="AP167:AQ167"/>
    <mergeCell ref="Y40:AD40"/>
    <mergeCell ref="AM162:AO162"/>
    <mergeCell ref="AI65:AJ65"/>
    <mergeCell ref="BF116:BH116"/>
    <mergeCell ref="AK121:AL121"/>
    <mergeCell ref="M70:Q70"/>
    <mergeCell ref="AP55:AQ55"/>
    <mergeCell ref="A187:B187"/>
    <mergeCell ref="AP38:AQ38"/>
    <mergeCell ref="C101:F101"/>
    <mergeCell ref="AW34:AX34"/>
    <mergeCell ref="AP169:AQ169"/>
    <mergeCell ref="AY63:AZ63"/>
    <mergeCell ref="M10:Q10"/>
    <mergeCell ref="AE42:AF42"/>
    <mergeCell ref="Y96:AD96"/>
    <mergeCell ref="J114:L114"/>
    <mergeCell ref="AG115:AH115"/>
    <mergeCell ref="BF118:BH118"/>
    <mergeCell ref="AK123:AL123"/>
    <mergeCell ref="AM187:AO187"/>
    <mergeCell ref="A189:B189"/>
    <mergeCell ref="AP40:AQ40"/>
    <mergeCell ref="BF117:BH117"/>
    <mergeCell ref="AW30:AX30"/>
    <mergeCell ref="AE44:AF44"/>
    <mergeCell ref="AY92:AZ92"/>
    <mergeCell ref="J145:L145"/>
    <mergeCell ref="AM189:AO189"/>
    <mergeCell ref="G75:I75"/>
    <mergeCell ref="R84:X84"/>
    <mergeCell ref="AG141:AH141"/>
    <mergeCell ref="R78:X78"/>
    <mergeCell ref="AW29:AX29"/>
    <mergeCell ref="AR106:AT106"/>
    <mergeCell ref="Y91:AD91"/>
    <mergeCell ref="J111:L111"/>
    <mergeCell ref="AM188:AO188"/>
    <mergeCell ref="AY94:AZ94"/>
    <mergeCell ref="AG12:AH12"/>
    <mergeCell ref="AR105:AT105"/>
    <mergeCell ref="R80:X80"/>
    <mergeCell ref="A29:B29"/>
    <mergeCell ref="AW31:AX31"/>
    <mergeCell ref="BI117:BK117"/>
    <mergeCell ref="BD192:BE192"/>
    <mergeCell ref="AY87:AZ87"/>
    <mergeCell ref="Y93:AD93"/>
    <mergeCell ref="AP195:AQ195"/>
    <mergeCell ref="AM190:AO190"/>
    <mergeCell ref="J140:L140"/>
    <mergeCell ref="AY6:AZ6"/>
    <mergeCell ref="AU112:AV112"/>
    <mergeCell ref="AG14:AH14"/>
    <mergeCell ref="AR107:AT107"/>
    <mergeCell ref="M150:Q150"/>
    <mergeCell ref="BD194:BE194"/>
    <mergeCell ref="A31:B31"/>
    <mergeCell ref="AP66:AQ66"/>
    <mergeCell ref="A58:B58"/>
    <mergeCell ref="AY89:AZ89"/>
    <mergeCell ref="BA36:BC36"/>
    <mergeCell ref="AP197:AQ197"/>
    <mergeCell ref="AE70:AF70"/>
    <mergeCell ref="G103:I103"/>
    <mergeCell ref="BA72:BC72"/>
    <mergeCell ref="AI78:AJ78"/>
    <mergeCell ref="M152:Q152"/>
    <mergeCell ref="AK134:AL134"/>
    <mergeCell ref="AP68:AQ68"/>
    <mergeCell ref="AE97:AF97"/>
    <mergeCell ref="AG159:AH159"/>
    <mergeCell ref="AU166:AV166"/>
    <mergeCell ref="AP67:AQ67"/>
    <mergeCell ref="Y109:AD109"/>
    <mergeCell ref="AE96:AF96"/>
    <mergeCell ref="Y119:AD119"/>
    <mergeCell ref="BF130:BH130"/>
    <mergeCell ref="AW49:AX49"/>
    <mergeCell ref="R8:X8"/>
    <mergeCell ref="AU168:AV168"/>
    <mergeCell ref="Y111:AD111"/>
    <mergeCell ref="J158:L158"/>
    <mergeCell ref="AE98:AF98"/>
    <mergeCell ref="AY24:AZ24"/>
    <mergeCell ref="AG154:AH154"/>
    <mergeCell ref="G129:I129"/>
    <mergeCell ref="AR29:AT29"/>
    <mergeCell ref="Y104:AD104"/>
    <mergeCell ref="R10:X10"/>
    <mergeCell ref="J130:L130"/>
    <mergeCell ref="C172:F172"/>
    <mergeCell ref="BA54:BC54"/>
    <mergeCell ref="M81:Q81"/>
    <mergeCell ref="AU197:AV197"/>
    <mergeCell ref="J160:L160"/>
    <mergeCell ref="BI16:BK16"/>
    <mergeCell ref="AY148:AZ148"/>
    <mergeCell ref="AM114:AO114"/>
    <mergeCell ref="AG156:AH156"/>
    <mergeCell ref="C171:F171"/>
    <mergeCell ref="A42:B42"/>
    <mergeCell ref="G131:I131"/>
    <mergeCell ref="AR31:AT31"/>
    <mergeCell ref="J159:L159"/>
    <mergeCell ref="J153:L153"/>
    <mergeCell ref="BI9:BK9"/>
    <mergeCell ref="BA56:BC56"/>
    <mergeCell ref="AY19:AZ19"/>
    <mergeCell ref="BA83:BC83"/>
    <mergeCell ref="AI106:AJ106"/>
    <mergeCell ref="J72:L72"/>
    <mergeCell ref="M163:Q163"/>
    <mergeCell ref="C173:F173"/>
    <mergeCell ref="AW100:AX100"/>
    <mergeCell ref="M76:Q76"/>
    <mergeCell ref="AR62:AT62"/>
    <mergeCell ref="BI11:BK11"/>
    <mergeCell ref="AK195:AL195"/>
    <mergeCell ref="BA85:BC85"/>
    <mergeCell ref="J184:L184"/>
    <mergeCell ref="M165:Q165"/>
    <mergeCell ref="AP112:AQ112"/>
    <mergeCell ref="AR176:AT176"/>
    <mergeCell ref="BF183:BH183"/>
    <mergeCell ref="AW102:AX102"/>
    <mergeCell ref="AP122:AQ122"/>
    <mergeCell ref="AR186:AT186"/>
    <mergeCell ref="BG3:BH3"/>
    <mergeCell ref="AU39:AV39"/>
    <mergeCell ref="R150:X150"/>
    <mergeCell ref="AG182:AH182"/>
    <mergeCell ref="AW95:AX95"/>
    <mergeCell ref="Y138:AD138"/>
    <mergeCell ref="BF185:BH185"/>
    <mergeCell ref="AR57:AT57"/>
    <mergeCell ref="Y132:AD132"/>
    <mergeCell ref="AY160:AZ160"/>
    <mergeCell ref="AE22:AF22"/>
    <mergeCell ref="AG84:AH84"/>
    <mergeCell ref="R152:X152"/>
    <mergeCell ref="AW103:AX103"/>
    <mergeCell ref="C199:F199"/>
    <mergeCell ref="AW97:AX97"/>
    <mergeCell ref="AY159:AZ159"/>
    <mergeCell ref="BI158:BK158"/>
    <mergeCell ref="G142:I142"/>
    <mergeCell ref="AY72:AZ72"/>
    <mergeCell ref="R23:X23"/>
    <mergeCell ref="AY47:AZ47"/>
    <mergeCell ref="AG86:AH86"/>
    <mergeCell ref="M94:Q94"/>
    <mergeCell ref="Y36:AD36"/>
    <mergeCell ref="G55:I55"/>
    <mergeCell ref="AP138:AQ138"/>
    <mergeCell ref="AY161:AZ161"/>
    <mergeCell ref="AW128:AX128"/>
    <mergeCell ref="G144:I144"/>
    <mergeCell ref="AI144:AJ144"/>
    <mergeCell ref="AP140:AQ140"/>
    <mergeCell ref="BI72:BK72"/>
    <mergeCell ref="M95:Q95"/>
    <mergeCell ref="AE48:AF48"/>
    <mergeCell ref="M89:Q89"/>
    <mergeCell ref="AP11:AQ11"/>
    <mergeCell ref="AR75:AT75"/>
    <mergeCell ref="AP133:AQ133"/>
    <mergeCell ref="G71:I71"/>
    <mergeCell ref="M97:Q97"/>
    <mergeCell ref="R74:X74"/>
    <mergeCell ref="AP135:AQ135"/>
    <mergeCell ref="Y62:AD62"/>
    <mergeCell ref="R163:X163"/>
    <mergeCell ref="Y193:AD193"/>
    <mergeCell ref="Y176:AD176"/>
    <mergeCell ref="BF198:BH198"/>
    <mergeCell ref="AR70:AT70"/>
    <mergeCell ref="R76:X76"/>
    <mergeCell ref="AW27:AX27"/>
    <mergeCell ref="AG114:AH114"/>
    <mergeCell ref="C123:F123"/>
    <mergeCell ref="AI170:AJ170"/>
    <mergeCell ref="Y64:AD64"/>
    <mergeCell ref="BI82:BK82"/>
    <mergeCell ref="AM186:AO186"/>
    <mergeCell ref="R165:X165"/>
    <mergeCell ref="AE51:AF51"/>
    <mergeCell ref="G66:I66"/>
    <mergeCell ref="AR103:AT103"/>
    <mergeCell ref="AY91:AZ91"/>
    <mergeCell ref="AG143:AH143"/>
    <mergeCell ref="BA155:BC155"/>
    <mergeCell ref="AY85:AZ85"/>
    <mergeCell ref="AG99:AH99"/>
    <mergeCell ref="M113:Q113"/>
    <mergeCell ref="AE66:AF66"/>
    <mergeCell ref="AI172:AJ172"/>
    <mergeCell ref="G74:I74"/>
    <mergeCell ref="G68:I68"/>
    <mergeCell ref="R77:X77"/>
    <mergeCell ref="AU110:AV110"/>
    <mergeCell ref="M148:Q148"/>
    <mergeCell ref="BI83:BK83"/>
    <mergeCell ref="BA157:BC157"/>
    <mergeCell ref="R92:X92"/>
    <mergeCell ref="AY116:AZ116"/>
    <mergeCell ref="AP153:AQ153"/>
    <mergeCell ref="BI85:BK85"/>
    <mergeCell ref="AW53:AX53"/>
    <mergeCell ref="AE67:AF67"/>
    <mergeCell ref="M108:Q108"/>
    <mergeCell ref="AW9:AX9"/>
    <mergeCell ref="AE61:AF61"/>
    <mergeCell ref="R94:X94"/>
    <mergeCell ref="AW45:AX45"/>
    <mergeCell ref="AW167:AX167"/>
    <mergeCell ref="AP65:AQ65"/>
    <mergeCell ref="AR129:AT129"/>
    <mergeCell ref="BA152:BC152"/>
    <mergeCell ref="AW55:AX55"/>
    <mergeCell ref="C113:F113"/>
    <mergeCell ref="R87:X87"/>
    <mergeCell ref="AY111:AZ111"/>
    <mergeCell ref="AG125:AH125"/>
    <mergeCell ref="BD34:BE34"/>
    <mergeCell ref="Y75:AD75"/>
    <mergeCell ref="AR131:AT131"/>
    <mergeCell ref="AY119:AZ119"/>
    <mergeCell ref="R89:X89"/>
    <mergeCell ref="A38:B38"/>
    <mergeCell ref="AW40:AX40"/>
    <mergeCell ref="AG127:AH127"/>
    <mergeCell ref="AU7:AV7"/>
    <mergeCell ref="BD36:BE36"/>
    <mergeCell ref="C142:F142"/>
    <mergeCell ref="BD30:BE30"/>
    <mergeCell ref="M166:Q166"/>
    <mergeCell ref="AM199:AO199"/>
    <mergeCell ref="BA79:BC79"/>
    <mergeCell ref="BI14:BK14"/>
    <mergeCell ref="BI136:BK136"/>
    <mergeCell ref="M159:Q159"/>
    <mergeCell ref="A40:B40"/>
    <mergeCell ref="AP75:AQ75"/>
    <mergeCell ref="A67:B67"/>
    <mergeCell ref="AW71:AX71"/>
    <mergeCell ref="J157:L157"/>
    <mergeCell ref="BI13:BK13"/>
    <mergeCell ref="BI7:BK7"/>
    <mergeCell ref="BA81:BC81"/>
    <mergeCell ref="M167:Q167"/>
    <mergeCell ref="AK160:AL160"/>
    <mergeCell ref="AU8:AV8"/>
    <mergeCell ref="M161:Q161"/>
    <mergeCell ref="AI59:AJ59"/>
    <mergeCell ref="AU10:AV10"/>
    <mergeCell ref="AG178:AH178"/>
    <mergeCell ref="R115:X115"/>
    <mergeCell ref="AW66:AX66"/>
    <mergeCell ref="AR53:AT53"/>
    <mergeCell ref="AG49:AH49"/>
    <mergeCell ref="AR142:AT142"/>
    <mergeCell ref="R148:X148"/>
    <mergeCell ref="C195:F195"/>
    <mergeCell ref="AW93:AX93"/>
    <mergeCell ref="A66:B66"/>
    <mergeCell ref="AW68:AX68"/>
    <mergeCell ref="AY130:AZ130"/>
    <mergeCell ref="Y136:AD136"/>
    <mergeCell ref="AR55:AT55"/>
    <mergeCell ref="BI154:BK154"/>
    <mergeCell ref="AY155:AZ155"/>
    <mergeCell ref="G138:I138"/>
    <mergeCell ref="J177:L177"/>
    <mergeCell ref="AR144:AT144"/>
    <mergeCell ref="AI113:AJ113"/>
    <mergeCell ref="M187:Q187"/>
    <mergeCell ref="BI25:BK25"/>
    <mergeCell ref="C197:F197"/>
    <mergeCell ref="AY157:AZ157"/>
    <mergeCell ref="AK29:AL29"/>
    <mergeCell ref="A95:B95"/>
    <mergeCell ref="J185:L185"/>
    <mergeCell ref="K2:O2"/>
    <mergeCell ref="G140:I140"/>
    <mergeCell ref="AU151:AV151"/>
    <mergeCell ref="M195:Q195"/>
    <mergeCell ref="AI115:AJ115"/>
    <mergeCell ref="BI155:BK155"/>
    <mergeCell ref="M189:Q189"/>
    <mergeCell ref="BF26:BH26"/>
    <mergeCell ref="Y131:AD131"/>
    <mergeCell ref="BI149:BK149"/>
    <mergeCell ref="A122:B122"/>
    <mergeCell ref="AK31:AL31"/>
    <mergeCell ref="A97:B97"/>
    <mergeCell ref="G11:I11"/>
    <mergeCell ref="AE167:AF167"/>
    <mergeCell ref="AG196:AH196"/>
    <mergeCell ref="G169:I169"/>
    <mergeCell ref="BA100:BC100"/>
    <mergeCell ref="AP104:AQ104"/>
    <mergeCell ref="Y146:AD146"/>
    <mergeCell ref="BA94:BC94"/>
    <mergeCell ref="BI151:BK151"/>
    <mergeCell ref="AE133:AF133"/>
    <mergeCell ref="AU46:AV46"/>
    <mergeCell ref="AU21:AV21"/>
    <mergeCell ref="BI180:BK180"/>
    <mergeCell ref="BA66:BC66"/>
    <mergeCell ref="BF27:BH27"/>
    <mergeCell ref="AP131:AQ131"/>
    <mergeCell ref="AK32:AL32"/>
    <mergeCell ref="AG5:AT5"/>
    <mergeCell ref="AY61:AZ61"/>
    <mergeCell ref="AU23:AV23"/>
    <mergeCell ref="R134:X134"/>
    <mergeCell ref="R159:X159"/>
    <mergeCell ref="C39:F39"/>
    <mergeCell ref="AE162:AF162"/>
    <mergeCell ref="AG51:AH51"/>
    <mergeCell ref="BD100:BE100"/>
    <mergeCell ref="AY183:AZ183"/>
    <mergeCell ref="AR66:AT66"/>
    <mergeCell ref="BA95:BC95"/>
    <mergeCell ref="J27:L27"/>
    <mergeCell ref="AG191:AH191"/>
    <mergeCell ref="AR197:AT197"/>
    <mergeCell ref="C32:F32"/>
    <mergeCell ref="R161:X161"/>
    <mergeCell ref="AE164:AF164"/>
    <mergeCell ref="AY185:AZ185"/>
    <mergeCell ref="AU79:AV79"/>
    <mergeCell ref="BD102:BE102"/>
    <mergeCell ref="Y149:AD149"/>
    <mergeCell ref="AR68:AT68"/>
    <mergeCell ref="G195:I195"/>
    <mergeCell ref="J196:L196"/>
    <mergeCell ref="AY56:AZ56"/>
    <mergeCell ref="BA120:BC120"/>
    <mergeCell ref="AW137:AX137"/>
    <mergeCell ref="BI79:BK79"/>
    <mergeCell ref="BA128:BC128"/>
    <mergeCell ref="BF9:BH9"/>
    <mergeCell ref="A27:B27"/>
    <mergeCell ref="G153:I153"/>
    <mergeCell ref="AI197:AJ197"/>
    <mergeCell ref="AP193:AQ193"/>
    <mergeCell ref="R63:X63"/>
    <mergeCell ref="AU74:AV74"/>
    <mergeCell ref="AI169:AJ169"/>
    <mergeCell ref="AW139:AX139"/>
    <mergeCell ref="BA121:BC121"/>
    <mergeCell ref="BI81:BK81"/>
    <mergeCell ref="BF11:BH11"/>
    <mergeCell ref="AM27:AO27"/>
    <mergeCell ref="AK16:AL16"/>
    <mergeCell ref="AU76:AV76"/>
    <mergeCell ref="AW138:AX138"/>
    <mergeCell ref="R187:X187"/>
    <mergeCell ref="AE146:AF146"/>
    <mergeCell ref="Y200:AD200"/>
    <mergeCell ref="BA148:BC148"/>
    <mergeCell ref="C50:F50"/>
    <mergeCell ref="A22:B22"/>
    <mergeCell ref="AE65:AF65"/>
    <mergeCell ref="J38:L38"/>
    <mergeCell ref="R189:X189"/>
    <mergeCell ref="AW140:AX140"/>
    <mergeCell ref="AY196:AZ196"/>
    <mergeCell ref="Y177:AD177"/>
    <mergeCell ref="AM22:AO22"/>
    <mergeCell ref="G179:I179"/>
    <mergeCell ref="J40:L40"/>
    <mergeCell ref="A9:B9"/>
    <mergeCell ref="BD32:BE32"/>
    <mergeCell ref="BF96:BH96"/>
    <mergeCell ref="BD26:BE26"/>
    <mergeCell ref="AI39:AJ39"/>
    <mergeCell ref="A167:B167"/>
    <mergeCell ref="AP175:AQ175"/>
    <mergeCell ref="AY198:AZ198"/>
    <mergeCell ref="AU92:AV92"/>
    <mergeCell ref="BI107:BK107"/>
    <mergeCell ref="BA181:BC181"/>
    <mergeCell ref="M130:Q130"/>
    <mergeCell ref="AM9:AO9"/>
    <mergeCell ref="A11:B11"/>
    <mergeCell ref="AP177:AQ177"/>
    <mergeCell ref="AK103:AL103"/>
    <mergeCell ref="A169:B169"/>
    <mergeCell ref="BA174:BC174"/>
    <mergeCell ref="AU94:AV94"/>
    <mergeCell ref="M132:Q132"/>
    <mergeCell ref="BF91:BH91"/>
    <mergeCell ref="BI92:BK92"/>
    <mergeCell ref="AM11:AO11"/>
    <mergeCell ref="AU87:AV87"/>
    <mergeCell ref="AY38:AZ38"/>
    <mergeCell ref="AU6:AV6"/>
    <mergeCell ref="J91:L91"/>
    <mergeCell ref="AW62:AX62"/>
    <mergeCell ref="BF93:BH93"/>
    <mergeCell ref="BI94:BK94"/>
    <mergeCell ref="R111:X111"/>
    <mergeCell ref="AP172:AQ172"/>
    <mergeCell ref="AW193:AX193"/>
    <mergeCell ref="AU89:AV89"/>
    <mergeCell ref="AM12:AO12"/>
    <mergeCell ref="AR113:AT113"/>
    <mergeCell ref="AR138:AT138"/>
    <mergeCell ref="A179:B179"/>
    <mergeCell ref="AW64:AX64"/>
    <mergeCell ref="AE78:AF78"/>
    <mergeCell ref="BD60:BE60"/>
    <mergeCell ref="AG134:AH134"/>
    <mergeCell ref="BD16:BE16"/>
    <mergeCell ref="AK129:AL129"/>
    <mergeCell ref="AW153:AX153"/>
    <mergeCell ref="BD174:BE174"/>
    <mergeCell ref="AU120:AV120"/>
    <mergeCell ref="AP46:AQ46"/>
    <mergeCell ref="AR140:AT140"/>
    <mergeCell ref="AM41:AO41"/>
    <mergeCell ref="BD53:BE53"/>
    <mergeCell ref="J122:L122"/>
    <mergeCell ref="A91:B91"/>
    <mergeCell ref="AY128:AZ128"/>
    <mergeCell ref="BA192:BC192"/>
    <mergeCell ref="AK131:AL131"/>
    <mergeCell ref="BD45:BE45"/>
    <mergeCell ref="AI58:AJ58"/>
    <mergeCell ref="BF109:BH109"/>
    <mergeCell ref="R114:X114"/>
    <mergeCell ref="AU147:AV147"/>
    <mergeCell ref="AP48:AQ48"/>
    <mergeCell ref="A180:B180"/>
    <mergeCell ref="M185:Q185"/>
    <mergeCell ref="BD55:BE55"/>
    <mergeCell ref="BI120:BK120"/>
    <mergeCell ref="BA194:BC194"/>
    <mergeCell ref="BF75:BH75"/>
    <mergeCell ref="AK2:AL2"/>
    <mergeCell ref="AM66:AO66"/>
    <mergeCell ref="A93:B93"/>
    <mergeCell ref="BI147:BK147"/>
    <mergeCell ref="AU17:AV17"/>
    <mergeCell ref="AM68:AO68"/>
    <mergeCell ref="C8:F8"/>
    <mergeCell ref="AU148:AV148"/>
    <mergeCell ref="M186:Q186"/>
    <mergeCell ref="BD200:BE200"/>
    <mergeCell ref="BA189:BC189"/>
    <mergeCell ref="AE106:AF106"/>
    <mergeCell ref="AU19:AV19"/>
    <mergeCell ref="R130:X130"/>
    <mergeCell ref="J104:L104"/>
    <mergeCell ref="BA34:BC34"/>
    <mergeCell ref="BD71:BE71"/>
    <mergeCell ref="AR168:AT168"/>
    <mergeCell ref="R132:X132"/>
    <mergeCell ref="C179:F179"/>
    <mergeCell ref="A75:B75"/>
    <mergeCell ref="BD73:BE73"/>
    <mergeCell ref="BF137:BH137"/>
    <mergeCell ref="BI173:BK173"/>
    <mergeCell ref="AR153:AT153"/>
    <mergeCell ref="M196:Q196"/>
    <mergeCell ref="AK55:AL55"/>
    <mergeCell ref="A104:B104"/>
    <mergeCell ref="G193:I193"/>
    <mergeCell ref="BI50:BK50"/>
    <mergeCell ref="AK169:AL169"/>
    <mergeCell ref="BA124:BC124"/>
    <mergeCell ref="BI44:BK44"/>
    <mergeCell ref="BI181:BK181"/>
    <mergeCell ref="BF41:BH41"/>
    <mergeCell ref="M198:Q198"/>
    <mergeCell ref="AR184:AT184"/>
    <mergeCell ref="AK46:AL46"/>
    <mergeCell ref="AK40:AL40"/>
    <mergeCell ref="A106:B106"/>
    <mergeCell ref="BA117:BC117"/>
    <mergeCell ref="AU37:AV37"/>
    <mergeCell ref="AU159:AV159"/>
    <mergeCell ref="BF7:BH7"/>
    <mergeCell ref="AU72:AV72"/>
    <mergeCell ref="AU47:AV47"/>
    <mergeCell ref="R183:X183"/>
    <mergeCell ref="AE186:AF186"/>
    <mergeCell ref="AM112:AO112"/>
    <mergeCell ref="BD124:BE124"/>
    <mergeCell ref="C46:F46"/>
    <mergeCell ref="C21:F21"/>
    <mergeCell ref="BA119:BC119"/>
    <mergeCell ref="AU161:AV161"/>
    <mergeCell ref="J34:L34"/>
    <mergeCell ref="J9:L9"/>
    <mergeCell ref="BF36:BH36"/>
    <mergeCell ref="AR179:AT179"/>
    <mergeCell ref="AM105:AO105"/>
    <mergeCell ref="AW136:AX136"/>
    <mergeCell ref="R185:X185"/>
    <mergeCell ref="AI8:AJ8"/>
    <mergeCell ref="AY192:AZ192"/>
    <mergeCell ref="AE171:AF171"/>
    <mergeCell ref="BD126:BE126"/>
    <mergeCell ref="A130:B130"/>
    <mergeCell ref="C48:F48"/>
    <mergeCell ref="C23:F23"/>
    <mergeCell ref="BI191:BK191"/>
    <mergeCell ref="G175:I175"/>
    <mergeCell ref="J36:L36"/>
    <mergeCell ref="AM107:AO107"/>
    <mergeCell ref="AI10:AJ10"/>
    <mergeCell ref="A138:B138"/>
    <mergeCell ref="AY194:AZ194"/>
    <mergeCell ref="A132:B132"/>
    <mergeCell ref="AU63:AV63"/>
    <mergeCell ref="AK197:AL197"/>
    <mergeCell ref="G177:I177"/>
    <mergeCell ref="BI192:BK192"/>
    <mergeCell ref="Y168:AD168"/>
    <mergeCell ref="AK74:AL74"/>
    <mergeCell ref="AM138:AO138"/>
    <mergeCell ref="AK68:AL68"/>
    <mergeCell ref="J31:L31"/>
    <mergeCell ref="Y13:AD13"/>
    <mergeCell ref="BF62:BH62"/>
    <mergeCell ref="BI63:BK63"/>
    <mergeCell ref="BA137:BC137"/>
    <mergeCell ref="AR21:AT21"/>
    <mergeCell ref="AU83:AV83"/>
    <mergeCell ref="C74:F74"/>
    <mergeCell ref="J62:L62"/>
    <mergeCell ref="BF64:BH64"/>
    <mergeCell ref="AP168:AQ168"/>
    <mergeCell ref="AK69:AL69"/>
    <mergeCell ref="AU85:AV85"/>
    <mergeCell ref="R196:X196"/>
    <mergeCell ref="AE199:AF199"/>
    <mergeCell ref="Y8:AD8"/>
    <mergeCell ref="C103:F103"/>
    <mergeCell ref="BD137:BE137"/>
    <mergeCell ref="AI150:AJ150"/>
    <mergeCell ref="Y184:AD184"/>
    <mergeCell ref="J64:L64"/>
    <mergeCell ref="R198:X198"/>
    <mergeCell ref="AW149:AX149"/>
    <mergeCell ref="AI21:AJ21"/>
    <mergeCell ref="AU116:AV116"/>
    <mergeCell ref="AR111:AT111"/>
    <mergeCell ref="BD139:BE139"/>
    <mergeCell ref="AI152:AJ152"/>
    <mergeCell ref="J93:L93"/>
    <mergeCell ref="G48:I48"/>
    <mergeCell ref="R51:X51"/>
    <mergeCell ref="BD138:BE138"/>
    <mergeCell ref="AI23:AJ23"/>
    <mergeCell ref="A176:B176"/>
    <mergeCell ref="BD51:BE51"/>
    <mergeCell ref="BI116:BK116"/>
    <mergeCell ref="A64:B64"/>
    <mergeCell ref="A186:B186"/>
    <mergeCell ref="AU117:AV117"/>
    <mergeCell ref="BF82:BH82"/>
    <mergeCell ref="AU111:AV111"/>
    <mergeCell ref="A178:B178"/>
    <mergeCell ref="AK87:AL87"/>
    <mergeCell ref="AE41:AF41"/>
    <mergeCell ref="BI118:BK118"/>
    <mergeCell ref="AM64:AO64"/>
    <mergeCell ref="AK122:AL122"/>
    <mergeCell ref="AP39:AQ39"/>
    <mergeCell ref="AW175:AX175"/>
    <mergeCell ref="AM153:AO153"/>
    <mergeCell ref="AE43:AF43"/>
    <mergeCell ref="AM30:AO30"/>
    <mergeCell ref="C87:F87"/>
    <mergeCell ref="AG105:AH105"/>
    <mergeCell ref="BA160:BC160"/>
    <mergeCell ref="Y28:AD28"/>
    <mergeCell ref="J75:L75"/>
    <mergeCell ref="BD67:BE67"/>
    <mergeCell ref="AW177:AX177"/>
    <mergeCell ref="AM65:AO65"/>
    <mergeCell ref="AG107:AH107"/>
    <mergeCell ref="C89:F89"/>
    <mergeCell ref="AM21:AO21"/>
    <mergeCell ref="C116:F116"/>
    <mergeCell ref="AI163:AJ163"/>
    <mergeCell ref="AE131:AF131"/>
    <mergeCell ref="Y57:AD57"/>
    <mergeCell ref="BA32:BC32"/>
    <mergeCell ref="BD69:BE69"/>
    <mergeCell ref="AQ2:AR2"/>
    <mergeCell ref="BF133:BH133"/>
    <mergeCell ref="AI76:AJ76"/>
    <mergeCell ref="C88:F88"/>
    <mergeCell ref="AK138:AL138"/>
    <mergeCell ref="M27:Q27"/>
    <mergeCell ref="AG189:AH189"/>
    <mergeCell ref="BF135:BH135"/>
    <mergeCell ref="BD193:BE193"/>
    <mergeCell ref="AK140:AL140"/>
    <mergeCell ref="AI77:AJ77"/>
    <mergeCell ref="BF128:BH128"/>
    <mergeCell ref="AU130:AV130"/>
    <mergeCell ref="BF136:BH136"/>
    <mergeCell ref="AW99:AX99"/>
    <mergeCell ref="C17:F17"/>
    <mergeCell ref="AG29:AH29"/>
    <mergeCell ref="AM49:AO49"/>
    <mergeCell ref="A103:B103"/>
    <mergeCell ref="Y110:AD110"/>
    <mergeCell ref="AW101:AX101"/>
    <mergeCell ref="AE115:AF115"/>
    <mergeCell ref="M9:Q9"/>
    <mergeCell ref="C19:F19"/>
    <mergeCell ref="AG31:AH31"/>
    <mergeCell ref="AM1:AX1"/>
    <mergeCell ref="J7:L7"/>
    <mergeCell ref="AP83:AQ83"/>
    <mergeCell ref="AM103:AO103"/>
    <mergeCell ref="AM78:AO78"/>
    <mergeCell ref="AY165:AZ165"/>
    <mergeCell ref="A128:B128"/>
    <mergeCell ref="M11:Q11"/>
    <mergeCell ref="BD82:BE82"/>
    <mergeCell ref="AI95:AJ95"/>
    <mergeCell ref="BF146:BH146"/>
    <mergeCell ref="AI89:AJ89"/>
    <mergeCell ref="AP85:AQ85"/>
    <mergeCell ref="A136:B136"/>
    <mergeCell ref="AG32:AH32"/>
    <mergeCell ref="C14:F14"/>
    <mergeCell ref="M40:Q40"/>
    <mergeCell ref="AU183:AV183"/>
    <mergeCell ref="AI97:AJ97"/>
    <mergeCell ref="BF58:BH58"/>
    <mergeCell ref="AK153:AL153"/>
    <mergeCell ref="A129:B129"/>
    <mergeCell ref="BI190:BK190"/>
    <mergeCell ref="BA46:BC46"/>
    <mergeCell ref="AU54:AV54"/>
    <mergeCell ref="A127:B127"/>
    <mergeCell ref="AU185:AV185"/>
    <mergeCell ref="AG57:AH57"/>
    <mergeCell ref="BF60:BH60"/>
    <mergeCell ref="AK65:AL65"/>
    <mergeCell ref="AM129:AO129"/>
    <mergeCell ref="A131:B131"/>
    <mergeCell ref="AU56:AV56"/>
    <mergeCell ref="AR46:AT46"/>
    <mergeCell ref="R27:X27"/>
    <mergeCell ref="AY7:AZ7"/>
    <mergeCell ref="BD108:BE108"/>
    <mergeCell ref="AY34:AZ34"/>
    <mergeCell ref="AI121:AJ121"/>
    <mergeCell ref="Y15:AD15"/>
    <mergeCell ref="AG42:AH42"/>
    <mergeCell ref="J60:L60"/>
    <mergeCell ref="AM131:AO131"/>
    <mergeCell ref="C188:F188"/>
    <mergeCell ref="G17:I17"/>
    <mergeCell ref="AR48:AT48"/>
    <mergeCell ref="AE172:AF172"/>
    <mergeCell ref="J176:L176"/>
    <mergeCell ref="AP13:AQ13"/>
    <mergeCell ref="J53:L53"/>
    <mergeCell ref="C76:F76"/>
    <mergeCell ref="AY36:AZ36"/>
    <mergeCell ref="AI148:AJ148"/>
    <mergeCell ref="J170:L170"/>
    <mergeCell ref="AK179:AL179"/>
    <mergeCell ref="G19:I19"/>
    <mergeCell ref="J178:L178"/>
    <mergeCell ref="J55:L55"/>
    <mergeCell ref="BA102:BC102"/>
    <mergeCell ref="BF42:BH42"/>
    <mergeCell ref="BD136:BE136"/>
    <mergeCell ref="BF200:BH200"/>
    <mergeCell ref="AP8:AQ8"/>
    <mergeCell ref="AK83:AL83"/>
    <mergeCell ref="R9:X9"/>
    <mergeCell ref="AU196:AV196"/>
    <mergeCell ref="BF44:BH44"/>
    <mergeCell ref="BF71:BH71"/>
    <mergeCell ref="AP10:AQ10"/>
    <mergeCell ref="AR74:AT74"/>
    <mergeCell ref="AM149:AO149"/>
    <mergeCell ref="R11:X11"/>
    <mergeCell ref="AE39:AF39"/>
    <mergeCell ref="R38:X38"/>
    <mergeCell ref="A55:B55"/>
    <mergeCell ref="AU198:AV198"/>
    <mergeCell ref="J71:L71"/>
    <mergeCell ref="BF73:BH73"/>
    <mergeCell ref="AM142:AO142"/>
    <mergeCell ref="AW173:AX173"/>
    <mergeCell ref="AR38:AT38"/>
    <mergeCell ref="AG103:AH103"/>
    <mergeCell ref="R40:X40"/>
    <mergeCell ref="C112:F112"/>
    <mergeCell ref="AI159:AJ159"/>
    <mergeCell ref="Y53:AD53"/>
    <mergeCell ref="G72:I72"/>
    <mergeCell ref="J73:L73"/>
    <mergeCell ref="AM144:AO144"/>
    <mergeCell ref="C84:F84"/>
    <mergeCell ref="AI47:AJ47"/>
    <mergeCell ref="A200:B200"/>
    <mergeCell ref="BD154:BE154"/>
    <mergeCell ref="AI167:AJ167"/>
    <mergeCell ref="C114:F114"/>
    <mergeCell ref="AI161:AJ161"/>
    <mergeCell ref="Y55:AD55"/>
    <mergeCell ref="AW16:AX16"/>
    <mergeCell ref="J102:L102"/>
    <mergeCell ref="BD164:BE164"/>
    <mergeCell ref="AG98:AH98"/>
    <mergeCell ref="M112:Q112"/>
    <mergeCell ref="AP28:AQ28"/>
    <mergeCell ref="J68:L68"/>
    <mergeCell ref="AI162:AJ162"/>
    <mergeCell ref="M114:Q114"/>
    <mergeCell ref="AP21:AQ21"/>
    <mergeCell ref="AG129:AH129"/>
    <mergeCell ref="Y79:AD79"/>
    <mergeCell ref="BF101:BH101"/>
    <mergeCell ref="BA27:BC27"/>
    <mergeCell ref="BF126:BH126"/>
    <mergeCell ref="A197:B197"/>
    <mergeCell ref="AK106:AL106"/>
    <mergeCell ref="AU128:AV128"/>
    <mergeCell ref="AW184:AX184"/>
    <mergeCell ref="AP23:AQ23"/>
    <mergeCell ref="R93:X93"/>
    <mergeCell ref="AE58:AF58"/>
    <mergeCell ref="AG131:AH131"/>
    <mergeCell ref="C140:F140"/>
    <mergeCell ref="BD180:BE180"/>
    <mergeCell ref="AI187:AJ187"/>
    <mergeCell ref="AR6:AT6"/>
    <mergeCell ref="Y81:AD81"/>
    <mergeCell ref="Y37:AD37"/>
    <mergeCell ref="J128:L128"/>
    <mergeCell ref="AG2:AH2"/>
    <mergeCell ref="BD182:BE182"/>
    <mergeCell ref="C104:F104"/>
    <mergeCell ref="AM74:AO74"/>
    <mergeCell ref="AY102:AZ102"/>
    <mergeCell ref="AI189:AJ189"/>
    <mergeCell ref="M13:Q13"/>
    <mergeCell ref="G91:I91"/>
    <mergeCell ref="M7:Q7"/>
    <mergeCell ref="G85:I85"/>
    <mergeCell ref="BA16:BC16"/>
    <mergeCell ref="BD175:BE175"/>
    <mergeCell ref="AP81:AQ81"/>
    <mergeCell ref="AM76:AO76"/>
    <mergeCell ref="BI153:BK153"/>
    <mergeCell ref="BA9:BC9"/>
    <mergeCell ref="M36:Q36"/>
    <mergeCell ref="AP170:AQ170"/>
    <mergeCell ref="BD177:BE177"/>
    <mergeCell ref="AY103:AZ103"/>
    <mergeCell ref="C99:F99"/>
    <mergeCell ref="AE84:AF84"/>
    <mergeCell ref="M8:Q8"/>
    <mergeCell ref="Y63:AD63"/>
    <mergeCell ref="BA11:BC11"/>
    <mergeCell ref="AP76:AQ76"/>
    <mergeCell ref="AE86:AF86"/>
    <mergeCell ref="C130:F130"/>
    <mergeCell ref="AE80:AF80"/>
    <mergeCell ref="AG142:AH142"/>
    <mergeCell ref="BF145:BH145"/>
    <mergeCell ref="Y92:AD92"/>
    <mergeCell ref="BF139:BH139"/>
    <mergeCell ref="AG55:AH55"/>
    <mergeCell ref="AR148:AT148"/>
    <mergeCell ref="R112:X112"/>
    <mergeCell ref="G13:I13"/>
    <mergeCell ref="R106:X106"/>
    <mergeCell ref="AG144:AH144"/>
    <mergeCell ref="C153:F153"/>
    <mergeCell ref="C159:F159"/>
    <mergeCell ref="AR19:AT19"/>
    <mergeCell ref="Y94:AD94"/>
    <mergeCell ref="C72:F72"/>
    <mergeCell ref="BD106:BE106"/>
    <mergeCell ref="AY32:AZ32"/>
    <mergeCell ref="AI119:AJ119"/>
    <mergeCell ref="C125:F125"/>
    <mergeCell ref="BF170:BH170"/>
    <mergeCell ref="AK175:AL175"/>
    <mergeCell ref="C186:F186"/>
    <mergeCell ref="G15:I15"/>
    <mergeCell ref="C161:F161"/>
    <mergeCell ref="AP92:AQ92"/>
    <mergeCell ref="AM87:AO87"/>
    <mergeCell ref="J174:L174"/>
    <mergeCell ref="M64:Q64"/>
    <mergeCell ref="J168:L168"/>
    <mergeCell ref="BI24:BK24"/>
    <mergeCell ref="G104:I104"/>
    <mergeCell ref="BA98:BC98"/>
    <mergeCell ref="BF172:BH172"/>
    <mergeCell ref="AK177:AL177"/>
    <mergeCell ref="M178:Q178"/>
    <mergeCell ref="AP94:AQ94"/>
    <mergeCell ref="BI32:BK32"/>
    <mergeCell ref="AI114:AJ114"/>
    <mergeCell ref="AK176:AL176"/>
    <mergeCell ref="BI26:BK26"/>
    <mergeCell ref="AE8:AF8"/>
    <mergeCell ref="J169:L169"/>
    <mergeCell ref="M21:Q21"/>
    <mergeCell ref="AP6:AQ6"/>
    <mergeCell ref="BF173:BH173"/>
    <mergeCell ref="BA93:BC93"/>
    <mergeCell ref="AE10:AF10"/>
    <mergeCell ref="R34:X34"/>
    <mergeCell ref="C54:F54"/>
    <mergeCell ref="AG66:AH66"/>
    <mergeCell ref="AP95:AQ95"/>
    <mergeCell ref="AR159:AT159"/>
    <mergeCell ref="AP89:AQ89"/>
    <mergeCell ref="A140:B140"/>
    <mergeCell ref="AM113:AO113"/>
    <mergeCell ref="AR72:AT72"/>
    <mergeCell ref="Y147:AD147"/>
    <mergeCell ref="J200:L200"/>
    <mergeCell ref="G155:I155"/>
    <mergeCell ref="BF158:BH158"/>
    <mergeCell ref="R36:X36"/>
    <mergeCell ref="C56:F56"/>
    <mergeCell ref="AY60:AZ60"/>
    <mergeCell ref="AG68:AH68"/>
    <mergeCell ref="AG74:AH74"/>
    <mergeCell ref="AI130:AJ130"/>
    <mergeCell ref="AR161:AT161"/>
    <mergeCell ref="Y24:AD24"/>
    <mergeCell ref="BI42:BK42"/>
    <mergeCell ref="AY174:AZ174"/>
    <mergeCell ref="AP120:AQ120"/>
    <mergeCell ref="AM115:AO115"/>
    <mergeCell ref="AG67:AH67"/>
    <mergeCell ref="G157:I157"/>
    <mergeCell ref="BF13:BH13"/>
    <mergeCell ref="BA82:BC82"/>
    <mergeCell ref="AI132:AJ132"/>
    <mergeCell ref="AY45:AZ45"/>
    <mergeCell ref="Y148:AD148"/>
    <mergeCell ref="AK48:AL48"/>
    <mergeCell ref="G28:I28"/>
    <mergeCell ref="AG69:AH69"/>
    <mergeCell ref="M83:Q83"/>
    <mergeCell ref="G186:I186"/>
    <mergeCell ref="Y19:AD19"/>
    <mergeCell ref="G30:I30"/>
    <mergeCell ref="G152:I152"/>
    <mergeCell ref="M110:Q110"/>
    <mergeCell ref="BF184:BH184"/>
    <mergeCell ref="AW13:AX13"/>
    <mergeCell ref="AP148:AQ148"/>
    <mergeCell ref="AY42:AZ42"/>
    <mergeCell ref="AE21:AF21"/>
    <mergeCell ref="R176:X176"/>
    <mergeCell ref="AY200:AZ200"/>
    <mergeCell ref="BD117:BE117"/>
    <mergeCell ref="AP19:AQ19"/>
    <mergeCell ref="BA112:BC112"/>
    <mergeCell ref="R64:X64"/>
    <mergeCell ref="AW15:AX15"/>
    <mergeCell ref="AE23:AF23"/>
    <mergeCell ref="AY71:AZ71"/>
    <mergeCell ref="Y77:AD77"/>
    <mergeCell ref="R178:X178"/>
    <mergeCell ref="AE181:AF181"/>
    <mergeCell ref="AM168:AO168"/>
    <mergeCell ref="G54:I54"/>
    <mergeCell ref="AR91:AT91"/>
    <mergeCell ref="R57:X57"/>
    <mergeCell ref="Y166:AD166"/>
    <mergeCell ref="AR85:AT85"/>
    <mergeCell ref="Y160:AD160"/>
    <mergeCell ref="AI185:AJ185"/>
    <mergeCell ref="R49:X49"/>
    <mergeCell ref="AY73:AZ73"/>
    <mergeCell ref="J126:L126"/>
    <mergeCell ref="G81:I81"/>
    <mergeCell ref="G56:I56"/>
    <mergeCell ref="AG122:AH122"/>
    <mergeCell ref="A8:B8"/>
    <mergeCell ref="AW10:AX10"/>
    <mergeCell ref="BI96:BK96"/>
    <mergeCell ref="M136:Q136"/>
    <mergeCell ref="A184:B184"/>
    <mergeCell ref="Y72:AD72"/>
    <mergeCell ref="AP174:AQ174"/>
    <mergeCell ref="AM169:AO169"/>
    <mergeCell ref="BA139:BC139"/>
    <mergeCell ref="AU91:AV91"/>
    <mergeCell ref="AR86:AT86"/>
    <mergeCell ref="AP166:AQ166"/>
    <mergeCell ref="BD173:BE173"/>
    <mergeCell ref="A10:B10"/>
    <mergeCell ref="AI186:AJ186"/>
    <mergeCell ref="BI98:BK98"/>
    <mergeCell ref="AM184:AO184"/>
    <mergeCell ref="M121:Q121"/>
    <mergeCell ref="AE49:AF49"/>
    <mergeCell ref="AP159:AQ159"/>
    <mergeCell ref="AU93:AV93"/>
    <mergeCell ref="AW155:AX155"/>
    <mergeCell ref="BA7:BC7"/>
    <mergeCell ref="AI57:AJ57"/>
    <mergeCell ref="BF108:BH108"/>
    <mergeCell ref="M131:Q131"/>
    <mergeCell ref="AE163:AF163"/>
    <mergeCell ref="AP47:AQ47"/>
    <mergeCell ref="AM2:AN2"/>
    <mergeCell ref="AE76:AF76"/>
    <mergeCell ref="AG138:AH138"/>
    <mergeCell ref="R75:X75"/>
    <mergeCell ref="AP161:AQ161"/>
    <mergeCell ref="Y88:AD88"/>
    <mergeCell ref="J108:L108"/>
    <mergeCell ref="AW151:AX151"/>
    <mergeCell ref="BI93:BK93"/>
    <mergeCell ref="AM179:AO179"/>
    <mergeCell ref="AM39:AO39"/>
    <mergeCell ref="R102:X102"/>
    <mergeCell ref="AG140:AH140"/>
    <mergeCell ref="AW28:AX28"/>
    <mergeCell ref="C155:F155"/>
    <mergeCell ref="AI196:AJ196"/>
    <mergeCell ref="Y90:AD90"/>
    <mergeCell ref="AP192:AQ192"/>
    <mergeCell ref="J137:L137"/>
    <mergeCell ref="AE77:AF77"/>
    <mergeCell ref="BI124:BK124"/>
    <mergeCell ref="AG11:AH11"/>
    <mergeCell ref="AR104:AT104"/>
    <mergeCell ref="C157:F157"/>
    <mergeCell ref="J109:L109"/>
    <mergeCell ref="AY117:AZ117"/>
    <mergeCell ref="AP63:AQ63"/>
    <mergeCell ref="C151:F151"/>
    <mergeCell ref="AG169:AH169"/>
    <mergeCell ref="AI198:AJ198"/>
    <mergeCell ref="G100:I100"/>
    <mergeCell ref="J139:L139"/>
    <mergeCell ref="BA69:BC69"/>
    <mergeCell ref="G94:I94"/>
    <mergeCell ref="R103:X103"/>
    <mergeCell ref="AG135:AH135"/>
    <mergeCell ref="A21:B21"/>
    <mergeCell ref="M149:Q149"/>
    <mergeCell ref="J138:L138"/>
    <mergeCell ref="A57:B57"/>
    <mergeCell ref="AP187:AQ187"/>
    <mergeCell ref="BA35:BC35"/>
    <mergeCell ref="AI110:AJ110"/>
    <mergeCell ref="G102:I102"/>
    <mergeCell ref="C152:F152"/>
    <mergeCell ref="AI199:AJ199"/>
    <mergeCell ref="A23:B23"/>
    <mergeCell ref="M151:Q151"/>
    <mergeCell ref="AW79:AX79"/>
    <mergeCell ref="AK174:AL174"/>
    <mergeCell ref="BA64:BC64"/>
    <mergeCell ref="AU165:AV165"/>
    <mergeCell ref="AM29:AO29"/>
    <mergeCell ref="AP91:AQ91"/>
    <mergeCell ref="AR155:AT155"/>
    <mergeCell ref="AM23:AO23"/>
    <mergeCell ref="AG168:AH168"/>
    <mergeCell ref="AW81:AX81"/>
    <mergeCell ref="AE95:AF95"/>
    <mergeCell ref="AG195:AH195"/>
    <mergeCell ref="AE89:AF89"/>
    <mergeCell ref="G97:I97"/>
    <mergeCell ref="Y118:AD118"/>
    <mergeCell ref="R129:X129"/>
    <mergeCell ref="AP93:AQ93"/>
    <mergeCell ref="AR157:AT157"/>
    <mergeCell ref="R121:X121"/>
    <mergeCell ref="AY145:AZ145"/>
    <mergeCell ref="AK17:AL17"/>
    <mergeCell ref="AM111:AO111"/>
    <mergeCell ref="AY139:AZ139"/>
    <mergeCell ref="AG153:AH153"/>
    <mergeCell ref="G128:I128"/>
    <mergeCell ref="AR28:AT28"/>
    <mergeCell ref="R131:X131"/>
    <mergeCell ref="AE90:AF90"/>
    <mergeCell ref="AP118:AQ118"/>
    <mergeCell ref="A110:B110"/>
    <mergeCell ref="AY147:AZ147"/>
    <mergeCell ref="C170:F170"/>
    <mergeCell ref="G121:I121"/>
    <mergeCell ref="AG65:AH65"/>
    <mergeCell ref="AU35:AV35"/>
    <mergeCell ref="M79:Q79"/>
    <mergeCell ref="AR30:AT30"/>
    <mergeCell ref="M73:Q73"/>
    <mergeCell ref="BI33:BK33"/>
    <mergeCell ref="AP117:AQ117"/>
    <mergeCell ref="AY140:AZ140"/>
    <mergeCell ref="AE121:AF121"/>
    <mergeCell ref="AU34:AV34"/>
    <mergeCell ref="J193:L193"/>
    <mergeCell ref="BF180:BH180"/>
    <mergeCell ref="BI41:BK41"/>
    <mergeCell ref="BI35:BK35"/>
    <mergeCell ref="AP119:AQ119"/>
    <mergeCell ref="AR183:AT183"/>
    <mergeCell ref="AE123:AF123"/>
    <mergeCell ref="AU36:AV36"/>
    <mergeCell ref="BI51:BK51"/>
    <mergeCell ref="AG179:AH179"/>
    <mergeCell ref="M74:Q74"/>
    <mergeCell ref="AW92:AX92"/>
    <mergeCell ref="BD88:BE88"/>
    <mergeCell ref="BF182:BH182"/>
    <mergeCell ref="AR54:AT54"/>
    <mergeCell ref="AK187:AL187"/>
    <mergeCell ref="AR185:AT185"/>
    <mergeCell ref="R149:X149"/>
    <mergeCell ref="C196:F196"/>
    <mergeCell ref="AW94:AX94"/>
    <mergeCell ref="Y162:AD162"/>
    <mergeCell ref="BA110:BC110"/>
    <mergeCell ref="AR56:AT56"/>
    <mergeCell ref="AY69:AZ69"/>
    <mergeCell ref="R142:X142"/>
    <mergeCell ref="C198:F198"/>
    <mergeCell ref="AY158:AZ158"/>
    <mergeCell ref="R55:X55"/>
    <mergeCell ref="A121:B121"/>
    <mergeCell ref="Y164:AD164"/>
    <mergeCell ref="BI67:BK67"/>
    <mergeCell ref="M63:Q63"/>
    <mergeCell ref="G166:I166"/>
    <mergeCell ref="BI61:BK61"/>
    <mergeCell ref="BA135:BC135"/>
    <mergeCell ref="R144:X144"/>
    <mergeCell ref="AY193:AZ193"/>
    <mergeCell ref="Y157:AD157"/>
    <mergeCell ref="BI69:BK69"/>
    <mergeCell ref="BF24:BH24"/>
    <mergeCell ref="M92:Q92"/>
    <mergeCell ref="AP130:AQ130"/>
    <mergeCell ref="R200:X200"/>
    <mergeCell ref="AE159:AF159"/>
    <mergeCell ref="AE134:AF134"/>
    <mergeCell ref="G167:I167"/>
    <mergeCell ref="BI62:BK62"/>
    <mergeCell ref="Y188:AD188"/>
    <mergeCell ref="BA136:BC136"/>
    <mergeCell ref="AE47:AF47"/>
    <mergeCell ref="BF53:BH53"/>
    <mergeCell ref="R71:X71"/>
    <mergeCell ref="AP132:AQ132"/>
    <mergeCell ref="AR196:AT196"/>
    <mergeCell ref="BD12:BE12"/>
    <mergeCell ref="BI64:BK64"/>
    <mergeCell ref="Y190:AD190"/>
    <mergeCell ref="G192:I192"/>
    <mergeCell ref="R73:X73"/>
    <mergeCell ref="AW24:AX24"/>
    <mergeCell ref="AG111:AH111"/>
    <mergeCell ref="R195:X195"/>
    <mergeCell ref="AW18:AX18"/>
    <mergeCell ref="AR198:AT198"/>
    <mergeCell ref="AP188:AQ188"/>
    <mergeCell ref="BD14:BE14"/>
    <mergeCell ref="AI27:AJ27"/>
    <mergeCell ref="Y61:AD61"/>
    <mergeCell ref="Y183:AD183"/>
    <mergeCell ref="G63:I63"/>
    <mergeCell ref="J46:L46"/>
    <mergeCell ref="Z3:AD3"/>
    <mergeCell ref="BF50:BH50"/>
    <mergeCell ref="Y175:AD175"/>
    <mergeCell ref="BD13:BE13"/>
    <mergeCell ref="AW26:AX26"/>
    <mergeCell ref="AW148:AX148"/>
    <mergeCell ref="R197:X197"/>
    <mergeCell ref="AY82:AZ82"/>
    <mergeCell ref="AR110:AT110"/>
    <mergeCell ref="Y185:AD185"/>
    <mergeCell ref="AK85:AL85"/>
    <mergeCell ref="BI122:BK122"/>
    <mergeCell ref="J48:L48"/>
    <mergeCell ref="A17:B17"/>
    <mergeCell ref="AG106:AH106"/>
    <mergeCell ref="M120:Q120"/>
    <mergeCell ref="BD15:BE15"/>
    <mergeCell ref="C121:F121"/>
    <mergeCell ref="M145:Q145"/>
    <mergeCell ref="A53:B53"/>
    <mergeCell ref="Y56:AD56"/>
    <mergeCell ref="BA154:BC154"/>
    <mergeCell ref="AP183:AQ183"/>
    <mergeCell ref="BA58:BC58"/>
    <mergeCell ref="A19:B19"/>
    <mergeCell ref="M147:Q147"/>
    <mergeCell ref="AW165:AX165"/>
    <mergeCell ref="J136:L136"/>
    <mergeCell ref="AP185:AQ185"/>
    <mergeCell ref="AW181:AX181"/>
    <mergeCell ref="BA60:BC60"/>
    <mergeCell ref="AU102:AV102"/>
    <mergeCell ref="AR97:AT97"/>
    <mergeCell ref="BE3:BF3"/>
    <mergeCell ref="A48:B48"/>
    <mergeCell ref="AP56:AQ56"/>
    <mergeCell ref="AW52:AX52"/>
    <mergeCell ref="BA149:BC149"/>
    <mergeCell ref="AY108:AZ108"/>
    <mergeCell ref="AW166:AX166"/>
    <mergeCell ref="AI38:AJ38"/>
    <mergeCell ref="AR128:AT128"/>
    <mergeCell ref="BD156:BE156"/>
    <mergeCell ref="AE59:AF59"/>
    <mergeCell ref="BA151:BC151"/>
    <mergeCell ref="AP186:AQ186"/>
    <mergeCell ref="AG193:AH193"/>
    <mergeCell ref="AU103:AV103"/>
    <mergeCell ref="AK13:AL13"/>
    <mergeCell ref="A79:B79"/>
    <mergeCell ref="AW37:AX37"/>
    <mergeCell ref="BD33:BE33"/>
    <mergeCell ref="AM20:AO20"/>
    <mergeCell ref="G124:I124"/>
    <mergeCell ref="AI40:AJ40"/>
    <mergeCell ref="AM196:AO196"/>
    <mergeCell ref="AW47:AX47"/>
    <mergeCell ref="AY109:AZ109"/>
    <mergeCell ref="BI133:BK133"/>
    <mergeCell ref="AK15:AL15"/>
    <mergeCell ref="BF63:BH63"/>
    <mergeCell ref="A37:B37"/>
    <mergeCell ref="AR123:AT123"/>
    <mergeCell ref="Y198:AD198"/>
    <mergeCell ref="AK104:AL104"/>
    <mergeCell ref="BI135:BK135"/>
    <mergeCell ref="M158:Q158"/>
    <mergeCell ref="Y100:AD100"/>
    <mergeCell ref="BD28:BE28"/>
    <mergeCell ref="G119:I119"/>
    <mergeCell ref="AP196:AQ196"/>
    <mergeCell ref="AW192:AX192"/>
    <mergeCell ref="M168:Q168"/>
    <mergeCell ref="AK10:AL10"/>
    <mergeCell ref="AE119:AF119"/>
    <mergeCell ref="M160:Q160"/>
    <mergeCell ref="AG175:AH175"/>
    <mergeCell ref="AW63:AX63"/>
    <mergeCell ref="AP198:AQ198"/>
    <mergeCell ref="BD84:BE84"/>
    <mergeCell ref="AW194:AX194"/>
    <mergeCell ref="Y125:AD125"/>
    <mergeCell ref="BA73:BC73"/>
    <mergeCell ref="AR181:AT181"/>
    <mergeCell ref="AE112:AF112"/>
    <mergeCell ref="AM38:AO38"/>
    <mergeCell ref="R145:X145"/>
    <mergeCell ref="AE148:AF148"/>
    <mergeCell ref="AG177:AH177"/>
    <mergeCell ref="C192:F192"/>
    <mergeCell ref="A63:B63"/>
    <mergeCell ref="BD86:BE86"/>
    <mergeCell ref="Y133:AD133"/>
    <mergeCell ref="Y127:AD127"/>
    <mergeCell ref="AK155:AL155"/>
    <mergeCell ref="AE114:AF114"/>
    <mergeCell ref="AG176:AH176"/>
    <mergeCell ref="AM40:AO40"/>
    <mergeCell ref="R147:X147"/>
    <mergeCell ref="M184:Q184"/>
    <mergeCell ref="BD79:BE79"/>
    <mergeCell ref="C194:F194"/>
    <mergeCell ref="A92:B92"/>
    <mergeCell ref="AK157:AL157"/>
    <mergeCell ref="G137:I137"/>
    <mergeCell ref="R140:X140"/>
    <mergeCell ref="AE143:AF143"/>
    <mergeCell ref="AY164:AZ164"/>
    <mergeCell ref="AU58:AV58"/>
    <mergeCell ref="BD81:BE81"/>
    <mergeCell ref="Y128:AD128"/>
    <mergeCell ref="BI146:BK146"/>
    <mergeCell ref="A119:B119"/>
    <mergeCell ref="AK28:AL28"/>
    <mergeCell ref="A94:B94"/>
    <mergeCell ref="AK150:AL150"/>
    <mergeCell ref="J175:L175"/>
    <mergeCell ref="AR167:AT167"/>
    <mergeCell ref="G139:I139"/>
    <mergeCell ref="C189:F189"/>
    <mergeCell ref="AU60:AV60"/>
    <mergeCell ref="BF147:BH147"/>
    <mergeCell ref="AW116:AX116"/>
    <mergeCell ref="AE130:AF130"/>
    <mergeCell ref="AK30:AL30"/>
    <mergeCell ref="C34:F34"/>
    <mergeCell ref="BA101:BC101"/>
    <mergeCell ref="AE160:AF160"/>
    <mergeCell ref="G168:I168"/>
    <mergeCell ref="AP128:AQ128"/>
    <mergeCell ref="AR192:AT192"/>
    <mergeCell ref="AW124:AX124"/>
    <mergeCell ref="AW118:AX118"/>
    <mergeCell ref="AU45:AV45"/>
    <mergeCell ref="BI60:BK60"/>
    <mergeCell ref="AE132:AF132"/>
    <mergeCell ref="AY180:AZ180"/>
    <mergeCell ref="AM6:AO6"/>
    <mergeCell ref="AG48:AH48"/>
    <mergeCell ref="BF51:BH51"/>
    <mergeCell ref="AU55:AV55"/>
    <mergeCell ref="AW117:AX117"/>
    <mergeCell ref="AR194:AT194"/>
    <mergeCell ref="J18:L18"/>
    <mergeCell ref="AR200:AT200"/>
    <mergeCell ref="C29:F29"/>
    <mergeCell ref="R158:X158"/>
    <mergeCell ref="M28:Q28"/>
    <mergeCell ref="AE161:AF161"/>
    <mergeCell ref="M85:Q85"/>
    <mergeCell ref="AY182:AZ182"/>
    <mergeCell ref="C65:F65"/>
    <mergeCell ref="J17:L17"/>
    <mergeCell ref="BD99:BE99"/>
    <mergeCell ref="AI112:AJ112"/>
    <mergeCell ref="R193:X193"/>
    <mergeCell ref="R168:X168"/>
    <mergeCell ref="AW119:AX119"/>
    <mergeCell ref="AE127:AF127"/>
    <mergeCell ref="Y181:AD181"/>
    <mergeCell ref="C31:F31"/>
    <mergeCell ref="A147:B147"/>
    <mergeCell ref="AK56:AL56"/>
    <mergeCell ref="R160:X160"/>
    <mergeCell ref="AU200:AV200"/>
    <mergeCell ref="AG102:AH102"/>
    <mergeCell ref="Z1:AD1"/>
    <mergeCell ref="J19:L19"/>
    <mergeCell ref="BD101:BE101"/>
    <mergeCell ref="AW134:AX134"/>
    <mergeCell ref="AK170:AL170"/>
    <mergeCell ref="G194:I194"/>
    <mergeCell ref="AR195:AT195"/>
    <mergeCell ref="AY177:AZ177"/>
    <mergeCell ref="AU71:AV71"/>
    <mergeCell ref="C60:F60"/>
    <mergeCell ref="BD94:BE94"/>
    <mergeCell ref="G160:I160"/>
    <mergeCell ref="M118:Q118"/>
    <mergeCell ref="BF77:BH77"/>
    <mergeCell ref="BI78:BK78"/>
    <mergeCell ref="BI200:BK200"/>
    <mergeCell ref="A148:B148"/>
    <mergeCell ref="AU73:AV73"/>
    <mergeCell ref="R184:X184"/>
    <mergeCell ref="AE187:AF187"/>
    <mergeCell ref="M111:Q111"/>
    <mergeCell ref="BD125:BE125"/>
    <mergeCell ref="BA145:BC145"/>
    <mergeCell ref="AM148:AO148"/>
    <mergeCell ref="AI9:AJ9"/>
    <mergeCell ref="BD152:BE152"/>
    <mergeCell ref="Y199:AD199"/>
    <mergeCell ref="AY53:AZ53"/>
    <mergeCell ref="C49:F49"/>
    <mergeCell ref="BA147:BC147"/>
    <mergeCell ref="R179:X179"/>
    <mergeCell ref="AI36:AJ36"/>
    <mergeCell ref="AE5:AF6"/>
    <mergeCell ref="C42:F42"/>
    <mergeCell ref="A158:B158"/>
    <mergeCell ref="BF59:BH59"/>
    <mergeCell ref="AW132:AX132"/>
    <mergeCell ref="AR119:AT119"/>
    <mergeCell ref="BD147:BE147"/>
    <mergeCell ref="AK100:AL100"/>
    <mergeCell ref="Y194:AD194"/>
    <mergeCell ref="A160:B160"/>
    <mergeCell ref="AY107:AZ107"/>
    <mergeCell ref="BI106:BK106"/>
    <mergeCell ref="BD24:BE24"/>
    <mergeCell ref="BF88:BH88"/>
    <mergeCell ref="AI31:AJ31"/>
    <mergeCell ref="AU126:AV126"/>
    <mergeCell ref="A159:B159"/>
    <mergeCell ref="AW188:AX188"/>
    <mergeCell ref="BA173:BC173"/>
    <mergeCell ref="AK6:AL6"/>
    <mergeCell ref="A72:B72"/>
    <mergeCell ref="C75:F75"/>
    <mergeCell ref="AU3:AV3"/>
    <mergeCell ref="J88:L88"/>
    <mergeCell ref="BF90:BH90"/>
    <mergeCell ref="AK95:AL95"/>
    <mergeCell ref="AM159:AO159"/>
    <mergeCell ref="A161:B161"/>
    <mergeCell ref="AW190:AX190"/>
    <mergeCell ref="BI101:BK101"/>
    <mergeCell ref="BA158:BC158"/>
    <mergeCell ref="AW61:AX61"/>
    <mergeCell ref="J117:L117"/>
    <mergeCell ref="AM167:AO167"/>
    <mergeCell ref="AK97:AL97"/>
    <mergeCell ref="AM161:AO161"/>
    <mergeCell ref="AI64:AJ64"/>
    <mergeCell ref="BD171:BE171"/>
    <mergeCell ref="J83:L83"/>
    <mergeCell ref="BA13:BC13"/>
    <mergeCell ref="BD50:BE50"/>
    <mergeCell ref="AW185:AX185"/>
    <mergeCell ref="J119:L119"/>
    <mergeCell ref="A88:B88"/>
    <mergeCell ref="AP9:AQ9"/>
    <mergeCell ref="BD42:BE42"/>
    <mergeCell ref="J85:L85"/>
    <mergeCell ref="A54:B54"/>
    <mergeCell ref="M182:Q182"/>
    <mergeCell ref="BA15:BC15"/>
    <mergeCell ref="BD52:BE52"/>
    <mergeCell ref="BD77:BE77"/>
    <mergeCell ref="BA191:BC191"/>
    <mergeCell ref="A90:B90"/>
    <mergeCell ref="AK113:AL113"/>
    <mergeCell ref="A56:B56"/>
    <mergeCell ref="BA184:BC184"/>
    <mergeCell ref="AK148:AL148"/>
    <mergeCell ref="AI50:AJ50"/>
    <mergeCell ref="AU145:AV145"/>
    <mergeCell ref="AG17:AH17"/>
    <mergeCell ref="AU139:AV139"/>
    <mergeCell ref="M183:Q183"/>
    <mergeCell ref="BF20:BH20"/>
    <mergeCell ref="A85:B85"/>
    <mergeCell ref="AU16:AV16"/>
    <mergeCell ref="AG19:AH19"/>
    <mergeCell ref="BF22:BH22"/>
    <mergeCell ref="AI75:AJ75"/>
    <mergeCell ref="AM91:AO91"/>
    <mergeCell ref="AU140:AV140"/>
    <mergeCell ref="M24:Q24"/>
    <mergeCell ref="J13:L13"/>
    <mergeCell ref="BD70:BE70"/>
    <mergeCell ref="AM93:AO93"/>
    <mergeCell ref="BI170:BK170"/>
    <mergeCell ref="C27:F27"/>
    <mergeCell ref="M53:Q53"/>
    <mergeCell ref="BD63:BE63"/>
    <mergeCell ref="J15:L15"/>
    <mergeCell ref="AR160:AT160"/>
    <mergeCell ref="AK166:AL166"/>
    <mergeCell ref="G190:I190"/>
    <mergeCell ref="BI172:BK172"/>
    <mergeCell ref="BA28:BC28"/>
    <mergeCell ref="M55:Q55"/>
    <mergeCell ref="BD90:BE90"/>
    <mergeCell ref="AI103:AJ103"/>
    <mergeCell ref="AU173:AV173"/>
    <mergeCell ref="AK168:AL168"/>
    <mergeCell ref="BI171:BK171"/>
    <mergeCell ref="AK9:AL9"/>
    <mergeCell ref="AK47:AL47"/>
    <mergeCell ref="M48:Q48"/>
    <mergeCell ref="AU44:AV44"/>
    <mergeCell ref="AR34:AT34"/>
    <mergeCell ref="BA30:BC30"/>
    <mergeCell ref="BF156:BH156"/>
    <mergeCell ref="BF162:BH162"/>
    <mergeCell ref="AG72:AH72"/>
    <mergeCell ref="BD121:BE121"/>
    <mergeCell ref="AK167:AL167"/>
    <mergeCell ref="BA116:BC116"/>
    <mergeCell ref="AU158:AV158"/>
    <mergeCell ref="AM119:AO119"/>
    <mergeCell ref="AI188:AJ188"/>
    <mergeCell ref="AM75:AO75"/>
    <mergeCell ref="AK38:AL38"/>
    <mergeCell ref="BF164:BH164"/>
    <mergeCell ref="AR36:AT36"/>
    <mergeCell ref="AE185:AF185"/>
    <mergeCell ref="BF43:BH43"/>
    <mergeCell ref="BD123:BE123"/>
    <mergeCell ref="G32:I32"/>
    <mergeCell ref="J33:L33"/>
    <mergeCell ref="AM104:AO104"/>
    <mergeCell ref="AI7:AJ7"/>
    <mergeCell ref="BD116:BE116"/>
    <mergeCell ref="AI129:AJ129"/>
    <mergeCell ref="M37:Q37"/>
    <mergeCell ref="AY51:AZ51"/>
    <mergeCell ref="AK63:AL63"/>
    <mergeCell ref="AK194:AL194"/>
    <mergeCell ref="R177:X177"/>
    <mergeCell ref="AM106:AO106"/>
    <mergeCell ref="BF188:BH188"/>
    <mergeCell ref="BD118:BE118"/>
    <mergeCell ref="AI131:AJ131"/>
    <mergeCell ref="C40:F40"/>
    <mergeCell ref="BI43:BK43"/>
    <mergeCell ref="Y165:AD165"/>
    <mergeCell ref="AU184:AV184"/>
    <mergeCell ref="G27:I27"/>
    <mergeCell ref="J28:L28"/>
    <mergeCell ref="AK37:AL37"/>
    <mergeCell ref="AI2:AJ2"/>
    <mergeCell ref="M38:Q38"/>
    <mergeCell ref="A155:B155"/>
    <mergeCell ref="BF190:BH190"/>
    <mergeCell ref="AE27:AF27"/>
    <mergeCell ref="AK189:AL189"/>
    <mergeCell ref="C71:F71"/>
    <mergeCell ref="J30:L30"/>
    <mergeCell ref="BF61:BH61"/>
    <mergeCell ref="BI184:BK184"/>
    <mergeCell ref="A157:B157"/>
    <mergeCell ref="AK66:AL66"/>
    <mergeCell ref="AM130:AO130"/>
    <mergeCell ref="R17:X17"/>
    <mergeCell ref="AE20:AF20"/>
    <mergeCell ref="BI97:BK97"/>
    <mergeCell ref="AE196:AF196"/>
    <mergeCell ref="R53:X53"/>
    <mergeCell ref="AY77:AZ77"/>
    <mergeCell ref="AY33:AZ33"/>
    <mergeCell ref="AG85:AH85"/>
    <mergeCell ref="BD134:BE134"/>
    <mergeCell ref="AK93:AL93"/>
    <mergeCell ref="AM132:AO132"/>
    <mergeCell ref="AM157:AO157"/>
    <mergeCell ref="AI60:AJ60"/>
    <mergeCell ref="R46:X46"/>
    <mergeCell ref="C66:F66"/>
    <mergeCell ref="AE198:AF198"/>
    <mergeCell ref="AR49:AT49"/>
    <mergeCell ref="Y7:AD7"/>
    <mergeCell ref="Y34:AD34"/>
    <mergeCell ref="J54:L54"/>
    <mergeCell ref="C102:F102"/>
    <mergeCell ref="AI149:AJ149"/>
    <mergeCell ref="G45:I45"/>
    <mergeCell ref="R48:X48"/>
    <mergeCell ref="C68:F68"/>
    <mergeCell ref="AG80:AH80"/>
    <mergeCell ref="AI142:AJ142"/>
    <mergeCell ref="J56:L56"/>
    <mergeCell ref="BD48:BE48"/>
    <mergeCell ref="AI55:AJ55"/>
    <mergeCell ref="AK117:AL117"/>
    <mergeCell ref="G47:I47"/>
    <mergeCell ref="AU108:AV108"/>
    <mergeCell ref="AP34:AQ34"/>
    <mergeCell ref="C97:F97"/>
    <mergeCell ref="R79:X79"/>
    <mergeCell ref="A175:B175"/>
    <mergeCell ref="AY59:AZ59"/>
    <mergeCell ref="AE38:AF38"/>
    <mergeCell ref="J110:L110"/>
    <mergeCell ref="G46:I46"/>
    <mergeCell ref="BF114:BH114"/>
    <mergeCell ref="G40:I40"/>
    <mergeCell ref="AK119:AL119"/>
    <mergeCell ref="AI46:AJ46"/>
    <mergeCell ref="A185:B185"/>
    <mergeCell ref="AG13:AH13"/>
    <mergeCell ref="AP36:AQ36"/>
    <mergeCell ref="R37:X37"/>
    <mergeCell ref="AE40:AF40"/>
    <mergeCell ref="AY88:AZ88"/>
    <mergeCell ref="J141:L141"/>
    <mergeCell ref="AU109:AV109"/>
    <mergeCell ref="AM185:AO185"/>
    <mergeCell ref="AG15:AH15"/>
    <mergeCell ref="A170:B170"/>
    <mergeCell ref="AR102:AT102"/>
    <mergeCell ref="AY54:AZ54"/>
    <mergeCell ref="AM62:AO62"/>
    <mergeCell ref="AY90:AZ90"/>
    <mergeCell ref="AG104:AH104"/>
    <mergeCell ref="AM56:AO56"/>
    <mergeCell ref="AU136:AV136"/>
    <mergeCell ref="AG8:AH8"/>
    <mergeCell ref="Y54:AD54"/>
    <mergeCell ref="AM176:AO176"/>
    <mergeCell ref="BD188:BE188"/>
    <mergeCell ref="AI73:AJ73"/>
    <mergeCell ref="AE94:AF94"/>
    <mergeCell ref="AG10:AH10"/>
    <mergeCell ref="BD59:BE59"/>
    <mergeCell ref="BD190:BE190"/>
    <mergeCell ref="AP62:AQ62"/>
    <mergeCell ref="AM57:AO57"/>
    <mergeCell ref="AK137:AL137"/>
    <mergeCell ref="J100:L100"/>
    <mergeCell ref="AP54:AQ54"/>
    <mergeCell ref="J94:L94"/>
    <mergeCell ref="BA24:BC24"/>
    <mergeCell ref="BD61:BE61"/>
    <mergeCell ref="AI74:AJ74"/>
    <mergeCell ref="BF125:BH125"/>
    <mergeCell ref="AK130:AL130"/>
    <mergeCell ref="A196:B196"/>
    <mergeCell ref="AP64:AQ64"/>
    <mergeCell ref="AG155:AH155"/>
    <mergeCell ref="BA26:BC26"/>
    <mergeCell ref="J125:L125"/>
    <mergeCell ref="BA53:BC53"/>
    <mergeCell ref="BF127:BH127"/>
    <mergeCell ref="AK132:AL132"/>
    <mergeCell ref="A198:B198"/>
    <mergeCell ref="BI169:BK169"/>
    <mergeCell ref="AG157:AH157"/>
    <mergeCell ref="AU164:AV164"/>
    <mergeCell ref="AR32:AT32"/>
    <mergeCell ref="Y107:AD107"/>
    <mergeCell ref="J154:L154"/>
    <mergeCell ref="AM198:AO198"/>
    <mergeCell ref="AY20:AZ20"/>
    <mergeCell ref="C16:F16"/>
    <mergeCell ref="AG28:AH28"/>
    <mergeCell ref="AG150:AH150"/>
    <mergeCell ref="AG186:AH186"/>
    <mergeCell ref="C168:F168"/>
    <mergeCell ref="J120:L120"/>
    <mergeCell ref="BA50:BC50"/>
    <mergeCell ref="AU193:AV193"/>
    <mergeCell ref="C9:F9"/>
    <mergeCell ref="BI12:BK12"/>
    <mergeCell ref="G117:I117"/>
    <mergeCell ref="A125:B125"/>
    <mergeCell ref="J156:L156"/>
    <mergeCell ref="AM110:AO110"/>
    <mergeCell ref="AG30:AH30"/>
    <mergeCell ref="AI92:AJ92"/>
    <mergeCell ref="AG152:AH152"/>
    <mergeCell ref="C167:F167"/>
    <mergeCell ref="AR27:AT27"/>
    <mergeCell ref="Y102:AD102"/>
    <mergeCell ref="AK8:AL8"/>
    <mergeCell ref="J155:L155"/>
    <mergeCell ref="BA52:BC52"/>
    <mergeCell ref="AY15:AZ15"/>
    <mergeCell ref="C11:F11"/>
    <mergeCell ref="BI39:BK39"/>
    <mergeCell ref="AG23:AH23"/>
    <mergeCell ref="AU180:AV180"/>
    <mergeCell ref="C169:F169"/>
  </mergeCells>
  <conditionalFormatting sqref="AI7:AI200">
    <cfRule type="cellIs" priority="1" operator="equal" dxfId="0">
      <formula>"Pass"</formula>
    </cfRule>
    <cfRule type="cellIs" priority="2" operator="equal" dxfId="1">
      <formula>"Fail"</formula>
    </cfRule>
    <cfRule type="cellIs" priority="3" operator="equal" dxfId="2">
      <formula>"Pending"</formula>
    </cfRule>
    <cfRule type="cellIs" priority="4" operator="equal" dxfId="3">
      <formula>"N/A"</formula>
    </cfRule>
  </conditionalFormatting>
  <conditionalFormatting sqref="AW7:AW200">
    <cfRule type="cellIs" priority="5" operator="equal" dxfId="0">
      <formula>"Pass"</formula>
    </cfRule>
    <cfRule type="cellIs" priority="6" operator="equal" dxfId="1">
      <formula>"Fail"</formula>
    </cfRule>
    <cfRule type="cellIs" priority="7" operator="equal" dxfId="2">
      <formula>"Pending"</formula>
    </cfRule>
    <cfRule type="cellIs" priority="8" operator="equal" dxfId="3">
      <formula>"N/A"</formula>
    </cfRule>
  </conditionalFormatting>
  <dataValidations count="3">
    <dataValidation sqref="AE7:AE200" showDropDown="0" showInputMessage="0" showErrorMessage="0" allowBlank="1" type="list">
      <formula1>"N,A,B"</formula1>
    </dataValidation>
    <dataValidation sqref="AI7:AI200" showDropDown="0" showInputMessage="0" showErrorMessage="0" allowBlank="1" type="list">
      <formula1>"Pass,Fail,N/A,Pending"</formula1>
    </dataValidation>
    <dataValidation sqref="AW7:AW200" showDropDown="0" showInputMessage="0" showErrorMessage="0" allowBlank="1" type="list">
      <formula1>"Pass,Fail,N/A,Pending"</formula1>
    </dataValidation>
  </dataValidations>
  <pageMargins left="0.75" right="0.75" top="1" bottom="1" header="0.5" footer="0.5"/>
  <pageSetup orientation="landscape" fitToHeight="0" fitToWidth="1"/>
  <headerFooter>
    <oddHeader>&amp;L&amp;"Meiryo"&amp;9 文書名：TC-UAT-WEB-02 テストケース — VoIPWeb受入テストケース ベトナム語版&amp;C&amp;"Meiryo"&amp;9 作成者：VTI-SAM　図番：-&amp;R&amp;"Meiryo"&amp;9 更新日：2026/06/20</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2026-06-21T13:11:46Z</dcterms:created>
  <dcterms:modified xsi:type="dcterms:W3CDTF">2026-06-21T13:11:49Z</dcterms:modified>
</cp:coreProperties>
</file>