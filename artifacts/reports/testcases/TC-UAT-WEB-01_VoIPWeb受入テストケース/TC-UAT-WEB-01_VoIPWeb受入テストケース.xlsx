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VoIPWeb受入テスト" sheetId="2" r:id="rId2"/>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
      <name val="Meiryo"/>
      <b val="1"/>
      <color rgb="FF000000"/>
      <sz val="14"/>
    </font>
    <font>
      <name val="Meiryo"/>
      <b val="1"/>
      <color rgb="FF000000"/>
      <sz val="10"/>
    </font>
  </fonts>
  <fills count="7">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
      <patternFill patternType="solid">
        <fgColor rgb="FFECECEC"/>
      </patternFill>
    </fill>
  </fills>
  <borders count="49">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medium">
        <color rgb="FF808080"/>
      </left>
      <right/>
      <top/>
      <bottom/>
      <diagonal/>
    </border>
    <border>
      <left/>
      <right style="thin">
        <color rgb="FFA6A6A6"/>
      </right>
      <top/>
      <bottom/>
      <diagonal/>
    </border>
    <border>
      <left style="medium">
        <color rgb="FF808080"/>
      </left>
      <right/>
      <top/>
      <bottom style="medium">
        <color rgb="FF808080"/>
      </bottom>
      <diagonal/>
    </border>
    <border>
      <left/>
      <right/>
      <top/>
      <bottom style="medium">
        <color rgb="FF808080"/>
      </bottom>
      <diagonal/>
    </border>
    <border>
      <left/>
      <right style="thin">
        <color rgb="FFA6A6A6"/>
      </right>
      <top/>
      <bottom style="medium">
        <color rgb="FF808080"/>
      </bottom>
      <diagonal/>
    </border>
    <border>
      <left/>
      <right/>
      <top style="thin">
        <color rgb="FFA6A6A6"/>
      </top>
      <bottom style="medium">
        <color rgb="FF808080"/>
      </bottom>
      <diagonal/>
    </border>
    <border>
      <left/>
      <right style="thin">
        <color rgb="FFA6A6A6"/>
      </right>
      <top style="thin">
        <color rgb="FFA6A6A6"/>
      </top>
      <bottom style="medium">
        <color rgb="FF808080"/>
      </bottom>
      <diagonal/>
    </border>
    <border>
      <left style="thin">
        <color rgb="FFA6A6A6"/>
      </left>
      <right style="medium">
        <color rgb="FF808080"/>
      </right>
      <top style="medium">
        <color rgb="FF808080"/>
      </top>
      <bottom style="thin">
        <color rgb="FFA6A6A6"/>
      </bottom>
    </border>
    <border>
      <left/>
      <right style="medium">
        <color rgb="FF808080"/>
      </right>
      <top style="medium">
        <color rgb="FF808080"/>
      </top>
      <bottom/>
      <diagonal/>
    </border>
    <border>
      <left/>
      <right style="medium">
        <color rgb="FF808080"/>
      </right>
      <top style="medium">
        <color rgb="FF808080"/>
      </top>
      <bottom style="thin">
        <color rgb="FFA6A6A6"/>
      </bottom>
      <diagonal/>
    </border>
    <border>
      <left style="thin">
        <color rgb="FFA6A6A6"/>
      </left>
      <right style="medium">
        <color rgb="FF808080"/>
      </right>
      <top style="thin">
        <color rgb="FFA6A6A6"/>
      </top>
      <bottom style="thin">
        <color rgb="FFA6A6A6"/>
      </bottom>
    </border>
    <border>
      <left/>
      <right style="medium">
        <color rgb="FF808080"/>
      </right>
      <top style="thin">
        <color rgb="FFA6A6A6"/>
      </top>
      <bottom/>
      <diagonal/>
    </border>
    <border>
      <left/>
      <right style="medium">
        <color rgb="FF808080"/>
      </right>
      <top style="thin">
        <color rgb="FFA6A6A6"/>
      </top>
      <bottom style="thin">
        <color rgb="FFA6A6A6"/>
      </bottom>
      <diagonal/>
    </border>
    <border>
      <left style="thin">
        <color rgb="FFA6A6A6"/>
      </left>
      <right style="medium">
        <color rgb="FF808080"/>
      </right>
      <top style="thin">
        <color rgb="FFA6A6A6"/>
      </top>
      <bottom style="medium">
        <color rgb="FF808080"/>
      </bottom>
    </border>
    <border>
      <left/>
      <right style="medium">
        <color rgb="FF808080"/>
      </right>
      <top style="thin">
        <color rgb="FFA6A6A6"/>
      </top>
      <bottom style="medium">
        <color rgb="FF808080"/>
      </bottom>
      <diagonal/>
    </border>
    <border>
      <left style="medium">
        <color rgb="FF808080"/>
      </left>
      <right/>
      <top/>
      <bottom style="thin">
        <color rgb="FFA6A6A6"/>
      </bottom>
      <diagonal/>
    </border>
    <border>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medium">
        <color rgb="FF808080"/>
      </right>
      <top/>
      <bottom/>
      <diagonal/>
    </border>
    <border>
      <left/>
      <right style="medium">
        <color rgb="FF808080"/>
      </right>
      <top/>
      <bottom style="thin">
        <color rgb="FFA6A6A6"/>
      </bottom>
      <diagonal/>
    </border>
  </borders>
  <cellStyleXfs count="1">
    <xf numFmtId="0" fontId="0" fillId="0" borderId="0"/>
  </cellStyleXfs>
  <cellXfs count="71">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6" fillId="2" borderId="6" applyAlignment="1" pivotButton="0" quotePrefix="0" xfId="0">
      <alignment horizontal="center" vertical="center" wrapText="1"/>
    </xf>
    <xf numFmtId="0" fontId="0" fillId="0" borderId="10" pivotButton="0" quotePrefix="0" xfId="0"/>
    <xf numFmtId="0" fontId="0" fillId="0" borderId="11" pivotButton="0" quotePrefix="0" xfId="0"/>
    <xf numFmtId="0" fontId="7" fillId="6" borderId="9" applyAlignment="1" pivotButton="0" quotePrefix="0" xfId="0">
      <alignment horizontal="left" vertical="center" wrapText="1"/>
    </xf>
    <xf numFmtId="0" fontId="0" fillId="0" borderId="12" pivotButton="0" quotePrefix="0" xfId="0"/>
    <xf numFmtId="0" fontId="0" fillId="0" borderId="13" pivotButton="0" quotePrefix="0" xfId="0"/>
    <xf numFmtId="0" fontId="5" fillId="0" borderId="9" applyAlignment="1" pivotButton="0" quotePrefix="0" xfId="0">
      <alignment horizontal="left" vertical="center" wrapText="1"/>
    </xf>
    <xf numFmtId="0" fontId="7" fillId="3" borderId="9" applyAlignment="1" pivotButton="0" quotePrefix="0" xfId="0">
      <alignment horizontal="center" vertical="center" wrapText="1"/>
    </xf>
    <xf numFmtId="0" fontId="7" fillId="3" borderId="34" applyAlignment="1" pivotButton="0" quotePrefix="0" xfId="0">
      <alignment horizontal="center" vertical="center" wrapText="1"/>
    </xf>
    <xf numFmtId="0" fontId="0" fillId="0" borderId="36" pivotButton="0" quotePrefix="0" xfId="0"/>
    <xf numFmtId="0" fontId="0" fillId="0" borderId="27" pivotButton="0" quotePrefix="0" xfId="0"/>
    <xf numFmtId="0" fontId="0" fillId="0" borderId="28" pivotButton="0" quotePrefix="0" xfId="0"/>
    <xf numFmtId="0" fontId="7" fillId="6" borderId="1" applyAlignment="1" pivotButton="0" quotePrefix="0" xfId="0">
      <alignment horizontal="left" vertical="center" wrapText="1"/>
    </xf>
    <xf numFmtId="0" fontId="7" fillId="4" borderId="1" applyAlignment="1" pivotButton="0" quotePrefix="0" xfId="0">
      <alignment horizontal="center" vertical="center" wrapText="1"/>
    </xf>
    <xf numFmtId="0" fontId="7" fillId="4" borderId="37" applyAlignment="1" pivotButton="0" quotePrefix="0" xfId="0">
      <alignment horizontal="center" vertical="center" wrapText="1"/>
    </xf>
    <xf numFmtId="0" fontId="0" fillId="0" borderId="39" pivotButton="0" quotePrefix="0" xfId="0"/>
    <xf numFmtId="0" fontId="0" fillId="0" borderId="29" pivotButton="0" quotePrefix="0" xfId="0"/>
    <xf numFmtId="0" fontId="0" fillId="0" borderId="30" pivotButton="0" quotePrefix="0" xfId="0"/>
    <xf numFmtId="0" fontId="0" fillId="0" borderId="31" pivotButton="0" quotePrefix="0" xfId="0"/>
    <xf numFmtId="0" fontId="7" fillId="6" borderId="25" applyAlignment="1" pivotButton="0" quotePrefix="0" xfId="0">
      <alignment horizontal="left" vertical="center" wrapText="1"/>
    </xf>
    <xf numFmtId="0" fontId="0" fillId="0" borderId="32" pivotButton="0" quotePrefix="0" xfId="0"/>
    <xf numFmtId="0" fontId="0" fillId="0" borderId="33" pivotButton="0" quotePrefix="0" xfId="0"/>
    <xf numFmtId="0" fontId="5" fillId="0" borderId="25" applyAlignment="1" pivotButton="0" quotePrefix="0" xfId="0">
      <alignment horizontal="center" vertical="center" wrapText="1"/>
    </xf>
    <xf numFmtId="0" fontId="5" fillId="0" borderId="40" applyAlignment="1" pivotButton="0" quotePrefix="0" xfId="0">
      <alignment horizontal="center" vertical="center" wrapText="1"/>
    </xf>
    <xf numFmtId="0" fontId="0" fillId="0" borderId="41" pivotButton="0" quotePrefix="0" xfId="0"/>
    <xf numFmtId="0" fontId="7" fillId="4" borderId="14" applyAlignment="1" pivotButton="0" quotePrefix="0" xfId="0">
      <alignment horizontal="center" vertical="center" wrapText="1"/>
    </xf>
    <xf numFmtId="0" fontId="7" fillId="4" borderId="9" applyAlignment="1" pivotButton="0" quotePrefix="0" xfId="0">
      <alignment horizontal="center" vertical="center" wrapText="1"/>
    </xf>
    <xf numFmtId="0" fontId="7" fillId="4" borderId="34" applyAlignment="1" pivotButton="0" quotePrefix="0" xfId="0">
      <alignment horizontal="center" vertical="center" wrapText="1"/>
    </xf>
    <xf numFmtId="0" fontId="0" fillId="0" borderId="35" pivotButton="0" quotePrefix="0" xfId="0"/>
    <xf numFmtId="0" fontId="0" fillId="0" borderId="42" pivotButton="0" quotePrefix="0" xfId="0"/>
    <xf numFmtId="0" fontId="0" fillId="0" borderId="43" pivotButton="0" quotePrefix="0" xfId="0"/>
    <xf numFmtId="0" fontId="0" fillId="0" borderId="45" pivotButton="0" quotePrefix="0" xfId="0"/>
    <xf numFmtId="0" fontId="0" fillId="0" borderId="46" pivotButton="0" quotePrefix="0" xfId="0"/>
    <xf numFmtId="0" fontId="0" fillId="0" borderId="48"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37"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37" applyAlignment="1" pivotButton="0" quotePrefix="0" xfId="0">
      <alignment horizontal="left" vertical="top" wrapText="1"/>
    </xf>
    <xf numFmtId="0" fontId="5" fillId="5" borderId="22" applyAlignment="1" pivotButton="0" quotePrefix="0" xfId="0">
      <alignment horizontal="center" vertical="center" wrapText="1"/>
    </xf>
    <xf numFmtId="0" fontId="5" fillId="5" borderId="25" applyAlignment="1" pivotButton="0" quotePrefix="0" xfId="0">
      <alignment horizontal="left" vertical="top" wrapText="1"/>
    </xf>
    <xf numFmtId="0" fontId="5" fillId="5" borderId="25" applyAlignment="1" pivotButton="0" quotePrefix="0" xfId="0">
      <alignment horizontal="center" vertical="center" wrapText="1"/>
    </xf>
    <xf numFmtId="0" fontId="5" fillId="5" borderId="40" applyAlignment="1" pivotButton="0" quotePrefix="0" xfId="0">
      <alignment horizontal="left" vertical="top" wrapText="1"/>
    </xf>
  </cellXfs>
  <cellStyles count="1">
    <cellStyle name="Normal" xfId="0" builtinId="0" hidden="0"/>
  </cellStyles>
  <dxfs count="4">
    <dxf>
      <font>
        <name val="Meiryo"/>
        <color rgb="FF006100"/>
        <sz val="9"/>
      </font>
      <fill>
        <patternFill patternType="solid">
          <fgColor rgb="FFC6EFCE"/>
        </patternFill>
      </fill>
    </dxf>
    <dxf>
      <font>
        <name val="Meiryo"/>
        <color rgb="FF9C0006"/>
        <sz val="9"/>
      </font>
      <fill>
        <patternFill patternType="solid">
          <fgColor rgb="FFFFC7CE"/>
        </patternFill>
      </fill>
    </dxf>
    <dxf>
      <font>
        <name val="Meiryo"/>
        <color rgb="FF9C6500"/>
        <sz val="9"/>
      </font>
      <fill>
        <patternFill patternType="solid">
          <fgColor rgb="FFFFEB9C"/>
        </patternFill>
      </fill>
    </dxf>
    <dxf>
      <font>
        <name val="Meiryo"/>
        <color rgb="FF595959"/>
        <sz val="9"/>
      </font>
      <fill>
        <patternFill patternType="solid">
          <fgColor rgb="FF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20"/>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TC-UAT-WEB-01 テストケース — VoIPWeb受入テストケース</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ITEC Denwa</t>
        </is>
      </c>
      <c r="H6" s="14" t="n"/>
      <c r="I6" s="14" t="n"/>
      <c r="J6" s="14" t="n"/>
      <c r="K6" s="14" t="n"/>
      <c r="L6" s="14" t="n"/>
      <c r="M6" s="14" t="n"/>
      <c r="N6" s="14" t="n"/>
      <c r="O6" s="14" t="n"/>
      <c r="P6" s="14" t="n"/>
      <c r="Q6" s="14" t="n"/>
      <c r="R6" s="14" t="n"/>
      <c r="S6" s="14" t="n"/>
      <c r="T6" s="14" t="n"/>
      <c r="U6" s="17" t="n"/>
    </row>
    <row r="7" ht="20" customHeight="1">
      <c r="A7" s="18" t="inlineStr">
        <is>
          <t>モジュール名</t>
        </is>
      </c>
      <c r="B7" s="14" t="n"/>
      <c r="C7" s="14" t="n"/>
      <c r="D7" s="14" t="n"/>
      <c r="E7" s="14" t="n"/>
      <c r="F7" s="15" t="n"/>
      <c r="G7" s="19" t="inlineStr">
        <is>
          <t>VoIPWeb</t>
        </is>
      </c>
      <c r="H7" s="14" t="n"/>
      <c r="I7" s="14" t="n"/>
      <c r="J7" s="14" t="n"/>
      <c r="K7" s="14" t="n"/>
      <c r="L7" s="14" t="n"/>
      <c r="M7" s="14" t="n"/>
      <c r="N7" s="14" t="n"/>
      <c r="O7" s="14" t="n"/>
      <c r="P7" s="14" t="n"/>
      <c r="Q7" s="14" t="n"/>
      <c r="R7" s="14" t="n"/>
      <c r="S7" s="14" t="n"/>
      <c r="T7" s="14" t="n"/>
      <c r="U7" s="17" t="n"/>
    </row>
    <row r="8" ht="20" customHeight="1">
      <c r="A8" s="13" t="inlineStr">
        <is>
          <t>テスト段階</t>
        </is>
      </c>
      <c r="B8" s="14" t="n"/>
      <c r="C8" s="14" t="n"/>
      <c r="D8" s="14" t="n"/>
      <c r="E8" s="14" t="n"/>
      <c r="F8" s="15" t="n"/>
      <c r="G8" s="16" t="inlineStr">
        <is>
          <t>受入テスト</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VTI-SAM</t>
        </is>
      </c>
      <c r="H9" s="14" t="n"/>
      <c r="I9" s="14" t="n"/>
      <c r="J9" s="14" t="n"/>
      <c r="K9" s="14" t="n"/>
      <c r="L9" s="14" t="n"/>
      <c r="M9" s="14" t="n"/>
      <c r="N9" s="14" t="n"/>
      <c r="O9" s="14" t="n"/>
      <c r="P9" s="14" t="n"/>
      <c r="Q9" s="14" t="n"/>
      <c r="R9" s="14" t="n"/>
      <c r="S9" s="14" t="n"/>
      <c r="T9" s="14" t="n"/>
      <c r="U9" s="17" t="n"/>
    </row>
    <row r="10" ht="20" customHeight="1">
      <c r="A10" s="13" t="inlineStr">
        <is>
          <t>作成日</t>
        </is>
      </c>
      <c r="B10" s="14" t="n"/>
      <c r="C10" s="14" t="n"/>
      <c r="D10" s="14" t="n"/>
      <c r="E10" s="14" t="n"/>
      <c r="F10" s="15" t="n"/>
      <c r="G10" s="16" t="inlineStr">
        <is>
          <t>2026/06/20</t>
        </is>
      </c>
      <c r="H10" s="14" t="n"/>
      <c r="I10" s="14" t="n"/>
      <c r="J10" s="14" t="n"/>
      <c r="K10" s="14" t="n"/>
      <c r="L10" s="14" t="n"/>
      <c r="M10" s="14" t="n"/>
      <c r="N10" s="14" t="n"/>
      <c r="O10" s="14" t="n"/>
      <c r="P10" s="14" t="n"/>
      <c r="Q10" s="14" t="n"/>
      <c r="R10" s="14" t="n"/>
      <c r="S10" s="14" t="n"/>
      <c r="T10" s="14" t="n"/>
      <c r="U10" s="17" t="n"/>
    </row>
    <row r="11" ht="20" customHeight="1">
      <c r="A11" s="18" t="inlineStr">
        <is>
          <t>環境</t>
        </is>
      </c>
      <c r="B11" s="14" t="n"/>
      <c r="C11" s="14" t="n"/>
      <c r="D11" s="14" t="n"/>
      <c r="E11" s="14" t="n"/>
      <c r="F11" s="15" t="n"/>
      <c r="G11" s="19" t="inlineStr">
        <is>
          <t>DEV / PRD</t>
        </is>
      </c>
      <c r="H11" s="14" t="n"/>
      <c r="I11" s="14" t="n"/>
      <c r="J11" s="14" t="n"/>
      <c r="K11" s="14" t="n"/>
      <c r="L11" s="14" t="n"/>
      <c r="M11" s="14" t="n"/>
      <c r="N11" s="14" t="n"/>
      <c r="O11" s="14" t="n"/>
      <c r="P11" s="14" t="n"/>
      <c r="Q11" s="14" t="n"/>
      <c r="R11" s="14" t="n"/>
      <c r="S11" s="14" t="n"/>
      <c r="T11" s="14" t="n"/>
      <c r="U11" s="17" t="n"/>
    </row>
    <row r="12" ht="20" customHeight="1">
      <c r="A12" s="13" t="inlineStr">
        <is>
          <t>入力元</t>
        </is>
      </c>
      <c r="B12" s="14" t="n"/>
      <c r="C12" s="14" t="n"/>
      <c r="D12" s="14" t="n"/>
      <c r="E12" s="14" t="n"/>
      <c r="F12" s="15" t="n"/>
      <c r="G12" s="16" t="inlineStr">
        <is>
          <t>UAT_VoIP電話ウェブ側テストケース.xlsx</t>
        </is>
      </c>
      <c r="H12" s="14" t="n"/>
      <c r="I12" s="14" t="n"/>
      <c r="J12" s="14" t="n"/>
      <c r="K12" s="14" t="n"/>
      <c r="L12" s="14" t="n"/>
      <c r="M12" s="14" t="n"/>
      <c r="N12" s="14" t="n"/>
      <c r="O12" s="14" t="n"/>
      <c r="P12" s="14" t="n"/>
      <c r="Q12" s="14" t="n"/>
      <c r="R12" s="14" t="n"/>
      <c r="S12" s="14" t="n"/>
      <c r="T12" s="14" t="n"/>
      <c r="U12" s="17" t="n"/>
    </row>
    <row r="13" ht="20" customHeight="1">
      <c r="A13" s="18" t="inlineStr">
        <is>
          <t>件数</t>
        </is>
      </c>
      <c r="B13" s="14" t="n"/>
      <c r="C13" s="14" t="n"/>
      <c r="D13" s="14" t="n"/>
      <c r="E13" s="14" t="n"/>
      <c r="F13" s="15" t="n"/>
      <c r="G13" s="19" t="inlineStr">
        <is>
          <t>104件</t>
        </is>
      </c>
      <c r="H13" s="14" t="n"/>
      <c r="I13" s="14" t="n"/>
      <c r="J13" s="14" t="n"/>
      <c r="K13" s="14" t="n"/>
      <c r="L13" s="14" t="n"/>
      <c r="M13" s="14" t="n"/>
      <c r="N13" s="14" t="n"/>
      <c r="O13" s="14" t="n"/>
      <c r="P13" s="14" t="n"/>
      <c r="Q13" s="14" t="n"/>
      <c r="R13" s="14" t="n"/>
      <c r="S13" s="14" t="n"/>
      <c r="T13" s="14" t="n"/>
      <c r="U13" s="17" t="n"/>
    </row>
    <row r="14" ht="20" customHeight="1">
      <c r="A14" s="20" t="inlineStr">
        <is>
          <t>文書ID</t>
        </is>
      </c>
      <c r="B14" s="21" t="n"/>
      <c r="C14" s="21" t="n"/>
      <c r="D14" s="21" t="n"/>
      <c r="E14" s="21" t="n"/>
      <c r="F14" s="22" t="n"/>
      <c r="G14" s="23" t="inlineStr">
        <is>
          <t>TC-UAT-WEB-01</t>
        </is>
      </c>
      <c r="H14" s="21" t="n"/>
      <c r="I14" s="21" t="n"/>
      <c r="J14" s="21" t="n"/>
      <c r="K14" s="21" t="n"/>
      <c r="L14" s="21" t="n"/>
      <c r="M14" s="21" t="n"/>
      <c r="N14" s="21" t="n"/>
      <c r="O14" s="21" t="n"/>
      <c r="P14" s="21" t="n"/>
      <c r="Q14" s="21" t="n"/>
      <c r="R14" s="21" t="n"/>
      <c r="S14" s="21" t="n"/>
      <c r="T14" s="21" t="n"/>
      <c r="U14" s="24" t="n"/>
    </row>
    <row r="16" ht="22" customHeight="1">
      <c r="A16" s="7" t="inlineStr">
        <is>
          <t>更新履歴</t>
        </is>
      </c>
      <c r="B16" s="5" t="n"/>
      <c r="C16" s="5" t="n"/>
      <c r="D16" s="5" t="n"/>
      <c r="E16" s="5" t="n"/>
      <c r="F16" s="5" t="n"/>
      <c r="G16" s="5" t="n"/>
      <c r="H16" s="5" t="n"/>
      <c r="I16" s="5" t="n"/>
      <c r="J16" s="5" t="n"/>
      <c r="K16" s="5" t="n"/>
      <c r="L16" s="5" t="n"/>
      <c r="M16" s="5" t="n"/>
      <c r="N16" s="5" t="n"/>
      <c r="O16" s="5" t="n"/>
      <c r="P16" s="5" t="n"/>
      <c r="Q16" s="5" t="n"/>
      <c r="R16" s="5" t="n"/>
      <c r="S16" s="5" t="n"/>
      <c r="T16" s="5" t="n"/>
      <c r="U16" s="6" t="n"/>
    </row>
    <row r="17" ht="20" customHeight="1">
      <c r="A17" s="8" t="inlineStr">
        <is>
          <t>バージョン</t>
        </is>
      </c>
      <c r="B17" s="9" t="n"/>
      <c r="C17" s="10" t="n"/>
      <c r="D17" s="11" t="inlineStr">
        <is>
          <t>依頼者</t>
        </is>
      </c>
      <c r="E17" s="9" t="n"/>
      <c r="F17" s="10" t="n"/>
      <c r="G17" s="11" t="inlineStr">
        <is>
          <t>更新者</t>
        </is>
      </c>
      <c r="H17" s="9" t="n"/>
      <c r="I17" s="10" t="n"/>
      <c r="J17" s="11" t="inlineStr">
        <is>
          <t>更新日時</t>
        </is>
      </c>
      <c r="K17" s="9" t="n"/>
      <c r="L17" s="10" t="n"/>
      <c r="M17" s="11" t="inlineStr">
        <is>
          <t>変更理由</t>
        </is>
      </c>
      <c r="N17" s="9" t="n"/>
      <c r="O17" s="10" t="n"/>
      <c r="P17" s="11" t="inlineStr">
        <is>
          <t>シート名</t>
        </is>
      </c>
      <c r="Q17" s="9" t="n"/>
      <c r="R17" s="10" t="n"/>
      <c r="S17" s="11" t="inlineStr">
        <is>
          <t>更新内容</t>
        </is>
      </c>
      <c r="T17" s="9" t="n"/>
      <c r="U17" s="12" t="n"/>
    </row>
    <row r="18" ht="30" customHeight="1">
      <c r="A18" s="13" t="inlineStr">
        <is>
          <t>1.0.2</t>
        </is>
      </c>
      <c r="B18" s="14" t="n"/>
      <c r="C18" s="15" t="n"/>
      <c r="D18" s="16" t="inlineStr">
        <is>
          <t>-</t>
        </is>
      </c>
      <c r="E18" s="14" t="n"/>
      <c r="F18" s="15" t="n"/>
      <c r="G18" s="16" t="inlineStr">
        <is>
          <t>VTI-SAM</t>
        </is>
      </c>
      <c r="H18" s="14" t="n"/>
      <c r="I18" s="15" t="n"/>
      <c r="J18" s="16" t="inlineStr">
        <is>
          <t>2026/06/21</t>
        </is>
      </c>
      <c r="K18" s="14" t="n"/>
      <c r="L18" s="15" t="n"/>
      <c r="M18" s="16" t="inlineStr">
        <is>
          <t>分類表記修正</t>
        </is>
      </c>
      <c r="N18" s="14" t="n"/>
      <c r="O18" s="15" t="n"/>
      <c r="P18" s="16" t="inlineStr">
        <is>
          <t>VoIPWeb受入テスト</t>
        </is>
      </c>
      <c r="Q18" s="14" t="n"/>
      <c r="R18" s="15" t="n"/>
      <c r="S18" s="16" t="inlineStr">
        <is>
          <t>分類値を種別（N/A/B）へ統一</t>
        </is>
      </c>
      <c r="T18" s="14" t="n"/>
      <c r="U18" s="17" t="n"/>
    </row>
    <row r="19" ht="45" customHeight="1">
      <c r="A19" s="18" t="inlineStr">
        <is>
          <t>1.0.1</t>
        </is>
      </c>
      <c r="B19" s="14" t="n"/>
      <c r="C19" s="15" t="n"/>
      <c r="D19" s="19" t="inlineStr">
        <is>
          <t>-</t>
        </is>
      </c>
      <c r="E19" s="14" t="n"/>
      <c r="F19" s="15" t="n"/>
      <c r="G19" s="19" t="inlineStr">
        <is>
          <t>VTI-SAM</t>
        </is>
      </c>
      <c r="H19" s="14" t="n"/>
      <c r="I19" s="15" t="n"/>
      <c r="J19" s="19" t="inlineStr">
        <is>
          <t>2026/06/21</t>
        </is>
      </c>
      <c r="K19" s="14" t="n"/>
      <c r="L19" s="15" t="n"/>
      <c r="M19" s="19" t="inlineStr">
        <is>
          <t>環境表記修正</t>
        </is>
      </c>
      <c r="N19" s="14" t="n"/>
      <c r="O19" s="15" t="n"/>
      <c r="P19" s="19" t="inlineStr">
        <is>
          <t>VoIPWeb受入テスト</t>
        </is>
      </c>
      <c r="Q19" s="14" t="n"/>
      <c r="R19" s="15" t="n"/>
      <c r="S19" s="19" t="inlineStr">
        <is>
          <t>第1回をDEV、第2回をPRDとして表記修正</t>
        </is>
      </c>
      <c r="T19" s="14" t="n"/>
      <c r="U19" s="17" t="n"/>
    </row>
    <row r="20" ht="30" customHeight="1">
      <c r="A20" s="20" t="inlineStr">
        <is>
          <t>1.0.0</t>
        </is>
      </c>
      <c r="B20" s="21" t="n"/>
      <c r="C20" s="22" t="n"/>
      <c r="D20" s="23" t="inlineStr">
        <is>
          <t>-</t>
        </is>
      </c>
      <c r="E20" s="21" t="n"/>
      <c r="F20" s="22" t="n"/>
      <c r="G20" s="23" t="inlineStr">
        <is>
          <t>VTI-SAM</t>
        </is>
      </c>
      <c r="H20" s="21" t="n"/>
      <c r="I20" s="22" t="n"/>
      <c r="J20" s="23" t="inlineStr">
        <is>
          <t>2026/06/20 13:33</t>
        </is>
      </c>
      <c r="K20" s="21" t="n"/>
      <c r="L20" s="22" t="n"/>
      <c r="M20" s="23" t="inlineStr">
        <is>
          <t>新規作成</t>
        </is>
      </c>
      <c r="N20" s="21" t="n"/>
      <c r="O20" s="22" t="n"/>
      <c r="P20" s="23" t="inlineStr">
        <is>
          <t>VoIPWeb受入テスト</t>
        </is>
      </c>
      <c r="Q20" s="21" t="n"/>
      <c r="R20" s="22" t="n"/>
      <c r="S20" s="23" t="inlineStr">
        <is>
          <t>UAT元テストケースから104件を正規化</t>
        </is>
      </c>
      <c r="T20" s="21" t="n"/>
      <c r="U20" s="24" t="n"/>
    </row>
  </sheetData>
  <mergeCells count="52">
    <mergeCell ref="G7:U7"/>
    <mergeCell ref="A16:U16"/>
    <mergeCell ref="G19:I19"/>
    <mergeCell ref="G10:U10"/>
    <mergeCell ref="G6:U6"/>
    <mergeCell ref="G13:U13"/>
    <mergeCell ref="D17:F17"/>
    <mergeCell ref="A18:C18"/>
    <mergeCell ref="A12:F12"/>
    <mergeCell ref="P17:R17"/>
    <mergeCell ref="G18:I18"/>
    <mergeCell ref="J20:L20"/>
    <mergeCell ref="S19:U19"/>
    <mergeCell ref="A2:U2"/>
    <mergeCell ref="A14:F14"/>
    <mergeCell ref="P19:R19"/>
    <mergeCell ref="A5:F5"/>
    <mergeCell ref="M18:O18"/>
    <mergeCell ref="G14:U14"/>
    <mergeCell ref="A8:F8"/>
    <mergeCell ref="A17:C17"/>
    <mergeCell ref="G5:U5"/>
    <mergeCell ref="M17:O17"/>
    <mergeCell ref="D18:F18"/>
    <mergeCell ref="P18:R18"/>
    <mergeCell ref="G20:I20"/>
    <mergeCell ref="A20:C20"/>
    <mergeCell ref="S20:U20"/>
    <mergeCell ref="A4:U4"/>
    <mergeCell ref="A10:F10"/>
    <mergeCell ref="A19:C19"/>
    <mergeCell ref="M19:O19"/>
    <mergeCell ref="M20:O20"/>
    <mergeCell ref="A13:F13"/>
    <mergeCell ref="J18:L18"/>
    <mergeCell ref="A9:F9"/>
    <mergeCell ref="G9:U9"/>
    <mergeCell ref="J17:L17"/>
    <mergeCell ref="D20:F20"/>
    <mergeCell ref="P20:R20"/>
    <mergeCell ref="G12:U12"/>
    <mergeCell ref="A11:F11"/>
    <mergeCell ref="D19:F19"/>
    <mergeCell ref="G11:U11"/>
    <mergeCell ref="J19:L19"/>
    <mergeCell ref="S18:U18"/>
    <mergeCell ref="A6:F6"/>
    <mergeCell ref="G17:I17"/>
    <mergeCell ref="S17:U17"/>
    <mergeCell ref="A1:U1"/>
    <mergeCell ref="G8:U8"/>
    <mergeCell ref="A7:F7"/>
  </mergeCells>
  <pageMargins left="0.75" right="0.75" top="1" bottom="1" header="0.5" footer="0.5"/>
  <pageSetup orientation="landscape" fitToHeight="0" fitToWidth="1"/>
  <headerFooter>
    <oddHeader>&amp;L&amp;"Meiryo"&amp;9 文書名：TC-UAT-WEB-01 テストケース — VoIPWeb受入テストケース&amp;C&amp;"Meiryo"&amp;9 作成者：VTI-SAM　図番：-&amp;R&amp;"Meiryo"&amp;9 更新日：2026/06/20</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K200"/>
  <sheetViews>
    <sheetView showGridLines="0" workbookViewId="0">
      <pane xSplit="30" ySplit="6" topLeftCell="AE7"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25" t="inlineStr">
        <is>
          <t>VoIPWeb受入テスト</t>
        </is>
      </c>
      <c r="B1" s="26" t="n"/>
      <c r="C1" s="26" t="n"/>
      <c r="D1" s="26" t="n"/>
      <c r="E1" s="26" t="n"/>
      <c r="F1" s="26" t="n"/>
      <c r="G1" s="26" t="n"/>
      <c r="H1" s="26" t="n"/>
      <c r="I1" s="26" t="n"/>
      <c r="J1" s="27" t="n"/>
      <c r="K1" s="28" t="inlineStr">
        <is>
          <t>モジュール：</t>
        </is>
      </c>
      <c r="L1" s="29" t="n"/>
      <c r="M1" s="29" t="n"/>
      <c r="N1" s="29" t="n"/>
      <c r="O1" s="30" t="n"/>
      <c r="P1" s="31" t="inlineStr">
        <is>
          <t>VoIPWeb</t>
        </is>
      </c>
      <c r="Q1" s="29" t="n"/>
      <c r="R1" s="29" t="n"/>
      <c r="S1" s="29" t="n"/>
      <c r="T1" s="30" t="n"/>
      <c r="U1" s="28" t="inlineStr">
        <is>
          <t>作成者：</t>
        </is>
      </c>
      <c r="V1" s="29" t="n"/>
      <c r="W1" s="29" t="n"/>
      <c r="X1" s="29" t="n"/>
      <c r="Y1" s="30" t="n"/>
      <c r="Z1" s="31" t="inlineStr">
        <is>
          <t>VTI-SAM</t>
        </is>
      </c>
      <c r="AA1" s="29" t="n"/>
      <c r="AB1" s="29" t="n"/>
      <c r="AC1" s="29" t="n"/>
      <c r="AD1" s="30" t="n"/>
      <c r="AE1" s="32" t="inlineStr">
        <is>
          <t>Priority</t>
        </is>
      </c>
      <c r="AF1" s="29" t="n"/>
      <c r="AG1" s="29" t="n"/>
      <c r="AH1" s="29" t="n"/>
      <c r="AI1" s="29" t="n"/>
      <c r="AJ1" s="29" t="n"/>
      <c r="AK1" s="29" t="n"/>
      <c r="AL1" s="30" t="n"/>
      <c r="AM1" s="32" t="inlineStr">
        <is>
          <t>第1回（ローカル）</t>
        </is>
      </c>
      <c r="AN1" s="29" t="n"/>
      <c r="AO1" s="29" t="n"/>
      <c r="AP1" s="29" t="n"/>
      <c r="AQ1" s="29" t="n"/>
      <c r="AR1" s="29" t="n"/>
      <c r="AS1" s="29" t="n"/>
      <c r="AT1" s="29" t="n"/>
      <c r="AU1" s="29" t="n"/>
      <c r="AV1" s="29" t="n"/>
      <c r="AW1" s="29" t="n"/>
      <c r="AX1" s="30" t="n"/>
      <c r="AY1" s="33" t="inlineStr">
        <is>
          <t>第2回（ローカル）</t>
        </is>
      </c>
      <c r="AZ1" s="29" t="n"/>
      <c r="BA1" s="29" t="n"/>
      <c r="BB1" s="29" t="n"/>
      <c r="BC1" s="29" t="n"/>
      <c r="BD1" s="29" t="n"/>
      <c r="BE1" s="29" t="n"/>
      <c r="BF1" s="29" t="n"/>
      <c r="BG1" s="29" t="n"/>
      <c r="BH1" s="29" t="n"/>
      <c r="BI1" s="29" t="n"/>
      <c r="BJ1" s="29" t="n"/>
      <c r="BK1" s="34" t="n"/>
    </row>
    <row r="2">
      <c r="A2" s="35" t="n"/>
      <c r="J2" s="36" t="n"/>
      <c r="K2" s="37" t="inlineStr">
        <is>
          <t>プロジェクト名：</t>
        </is>
      </c>
      <c r="L2" s="5" t="n"/>
      <c r="M2" s="5" t="n"/>
      <c r="N2" s="5" t="n"/>
      <c r="O2" s="6" t="n"/>
      <c r="P2" s="16" t="inlineStr">
        <is>
          <t>ITEC Denwa</t>
        </is>
      </c>
      <c r="Q2" s="5" t="n"/>
      <c r="R2" s="5" t="n"/>
      <c r="S2" s="5" t="n"/>
      <c r="T2" s="6" t="n"/>
      <c r="U2" s="37" t="inlineStr">
        <is>
          <t>作成日：</t>
        </is>
      </c>
      <c r="V2" s="5" t="n"/>
      <c r="W2" s="5" t="n"/>
      <c r="X2" s="5" t="n"/>
      <c r="Y2" s="6" t="n"/>
      <c r="Z2" s="16" t="inlineStr">
        <is>
          <t>2026/06/20</t>
        </is>
      </c>
      <c r="AA2" s="5" t="n"/>
      <c r="AB2" s="5" t="n"/>
      <c r="AC2" s="5" t="n"/>
      <c r="AD2" s="6" t="n"/>
      <c r="AE2" s="38" t="inlineStr">
        <is>
          <t>Normal</t>
        </is>
      </c>
      <c r="AF2" s="6" t="n"/>
      <c r="AG2" s="38" t="inlineStr">
        <is>
          <t>Abnormal</t>
        </is>
      </c>
      <c r="AH2" s="6" t="n"/>
      <c r="AI2" s="38" t="inlineStr">
        <is>
          <t>Boundary</t>
        </is>
      </c>
      <c r="AJ2" s="6" t="n"/>
      <c r="AK2" s="38" t="inlineStr">
        <is>
          <t>Total</t>
        </is>
      </c>
      <c r="AL2" s="6" t="n"/>
      <c r="AM2" s="38" t="inlineStr">
        <is>
          <t>Pass</t>
        </is>
      </c>
      <c r="AN2" s="6" t="n"/>
      <c r="AO2" s="38" t="inlineStr">
        <is>
          <t>Fail</t>
        </is>
      </c>
      <c r="AP2" s="6" t="n"/>
      <c r="AQ2" s="38" t="inlineStr">
        <is>
          <t>N/A</t>
        </is>
      </c>
      <c r="AR2" s="6" t="n"/>
      <c r="AS2" s="38" t="inlineStr">
        <is>
          <t>Pending</t>
        </is>
      </c>
      <c r="AT2" s="6" t="n"/>
      <c r="AU2" s="38" t="inlineStr">
        <is>
          <t>% coverage</t>
        </is>
      </c>
      <c r="AV2" s="6" t="n"/>
      <c r="AW2" s="38" t="inlineStr">
        <is>
          <t>Pass coverage</t>
        </is>
      </c>
      <c r="AX2" s="6" t="n"/>
      <c r="AY2" s="38" t="inlineStr">
        <is>
          <t>Pass</t>
        </is>
      </c>
      <c r="AZ2" s="6" t="n"/>
      <c r="BA2" s="38" t="inlineStr">
        <is>
          <t>Fail</t>
        </is>
      </c>
      <c r="BB2" s="6" t="n"/>
      <c r="BC2" s="38" t="inlineStr">
        <is>
          <t>N/A</t>
        </is>
      </c>
      <c r="BD2" s="6" t="n"/>
      <c r="BE2" s="38" t="inlineStr">
        <is>
          <t>Pending</t>
        </is>
      </c>
      <c r="BF2" s="6" t="n"/>
      <c r="BG2" s="38" t="inlineStr">
        <is>
          <t>% coverage</t>
        </is>
      </c>
      <c r="BH2" s="6" t="n"/>
      <c r="BI2" s="39" t="inlineStr">
        <is>
          <t>Pass coverage</t>
        </is>
      </c>
      <c r="BJ2" s="5" t="n"/>
      <c r="BK2" s="40" t="n"/>
    </row>
    <row r="3">
      <c r="A3" s="41" t="n"/>
      <c r="B3" s="42" t="n"/>
      <c r="C3" s="42" t="n"/>
      <c r="D3" s="42" t="n"/>
      <c r="E3" s="42" t="n"/>
      <c r="F3" s="42" t="n"/>
      <c r="G3" s="42" t="n"/>
      <c r="H3" s="42" t="n"/>
      <c r="I3" s="42" t="n"/>
      <c r="J3" s="43" t="n"/>
      <c r="K3" s="44" t="inlineStr">
        <is>
          <t>段階：</t>
        </is>
      </c>
      <c r="L3" s="45" t="n"/>
      <c r="M3" s="45" t="n"/>
      <c r="N3" s="45" t="n"/>
      <c r="O3" s="46" t="n"/>
      <c r="P3" s="23" t="inlineStr">
        <is>
          <t>受入テスト</t>
        </is>
      </c>
      <c r="Q3" s="45" t="n"/>
      <c r="R3" s="45" t="n"/>
      <c r="S3" s="45" t="n"/>
      <c r="T3" s="46" t="n"/>
      <c r="U3" s="44" t="inlineStr">
        <is>
          <t>環境：</t>
        </is>
      </c>
      <c r="V3" s="45" t="n"/>
      <c r="W3" s="45" t="n"/>
      <c r="X3" s="45" t="n"/>
      <c r="Y3" s="46" t="n"/>
      <c r="Z3" s="23" t="inlineStr">
        <is>
          <t>DEV / PRD</t>
        </is>
      </c>
      <c r="AA3" s="45" t="n"/>
      <c r="AB3" s="45" t="n"/>
      <c r="AC3" s="45" t="n"/>
      <c r="AD3" s="46" t="n"/>
      <c r="AE3" s="47">
        <f>COUNTIF(AE7:AE200,"N")</f>
        <v/>
      </c>
      <c r="AF3" s="46" t="n"/>
      <c r="AG3" s="47">
        <f>COUNTIF(AE7:AE200,"A")</f>
        <v/>
      </c>
      <c r="AH3" s="46" t="n"/>
      <c r="AI3" s="47">
        <f>COUNTIF(AE7:AE200,"B")</f>
        <v/>
      </c>
      <c r="AJ3" s="46" t="n"/>
      <c r="AK3" s="47">
        <f>AE3+AG3+AI3</f>
        <v/>
      </c>
      <c r="AL3" s="46" t="n"/>
      <c r="AM3" s="47">
        <f>COUNTIF(AI7:AI200,"Pass")</f>
        <v/>
      </c>
      <c r="AN3" s="46" t="n"/>
      <c r="AO3" s="47">
        <f>COUNTIF(AI7:AI200,"Fail")</f>
        <v/>
      </c>
      <c r="AP3" s="46" t="n"/>
      <c r="AQ3" s="47">
        <f>COUNTIF(AI7:AI200,"N/A")</f>
        <v/>
      </c>
      <c r="AR3" s="46" t="n"/>
      <c r="AS3" s="47">
        <f>COUNTIF(AI7:AI200,"Pending")</f>
        <v/>
      </c>
      <c r="AT3" s="46" t="n"/>
      <c r="AU3" s="47">
        <f>IFERROR((AM3+AO3)/(AK3-AQ3),"N/A")</f>
        <v/>
      </c>
      <c r="AV3" s="46" t="n"/>
      <c r="AW3" s="47">
        <f>IFERROR(AM3/AK3,"N/A")</f>
        <v/>
      </c>
      <c r="AX3" s="46" t="n"/>
      <c r="AY3" s="47">
        <f>COUNTIF(AW7:AW200,"Pass")</f>
        <v/>
      </c>
      <c r="AZ3" s="46" t="n"/>
      <c r="BA3" s="47">
        <f>COUNTIF(AW7:AW200,"Fail")</f>
        <v/>
      </c>
      <c r="BB3" s="46" t="n"/>
      <c r="BC3" s="47">
        <f>COUNTIF(AW7:AW200,"N/A")</f>
        <v/>
      </c>
      <c r="BD3" s="46" t="n"/>
      <c r="BE3" s="47">
        <f>COUNTIF(AW7:AW200,"Pending")</f>
        <v/>
      </c>
      <c r="BF3" s="46" t="n"/>
      <c r="BG3" s="47">
        <f>IFERROR((AY3+BA3)/(AK3-BC3),"N/A")</f>
        <v/>
      </c>
      <c r="BH3" s="46" t="n"/>
      <c r="BI3" s="48">
        <f>IFERROR(AY3/AK3,"N/A")</f>
        <v/>
      </c>
      <c r="BJ3" s="45" t="n"/>
      <c r="BK3" s="49" t="n"/>
    </row>
    <row r="5">
      <c r="A5" s="50" t="inlineStr">
        <is>
          <t>ID</t>
        </is>
      </c>
      <c r="B5" s="27" t="n"/>
      <c r="C5" s="51" t="inlineStr">
        <is>
          <t>画面/機能カテゴリ</t>
        </is>
      </c>
      <c r="D5" s="26" t="n"/>
      <c r="E5" s="26" t="n"/>
      <c r="F5" s="27" t="n"/>
      <c r="G5" s="51" t="inlineStr">
        <is>
          <t>大項目</t>
        </is>
      </c>
      <c r="H5" s="26" t="n"/>
      <c r="I5" s="27" t="n"/>
      <c r="J5" s="51" t="inlineStr">
        <is>
          <t>中項目</t>
        </is>
      </c>
      <c r="K5" s="26" t="n"/>
      <c r="L5" s="27" t="n"/>
      <c r="M5" s="51" t="inlineStr">
        <is>
          <t>前提条件</t>
        </is>
      </c>
      <c r="N5" s="26" t="n"/>
      <c r="O5" s="26" t="n"/>
      <c r="P5" s="26" t="n"/>
      <c r="Q5" s="27" t="n"/>
      <c r="R5" s="51" t="inlineStr">
        <is>
          <t>実行手順（テスト手順）</t>
        </is>
      </c>
      <c r="S5" s="26" t="n"/>
      <c r="T5" s="26" t="n"/>
      <c r="U5" s="26" t="n"/>
      <c r="V5" s="26" t="n"/>
      <c r="W5" s="26" t="n"/>
      <c r="X5" s="27" t="n"/>
      <c r="Y5" s="51" t="inlineStr">
        <is>
          <t>期待される結果</t>
        </is>
      </c>
      <c r="Z5" s="26" t="n"/>
      <c r="AA5" s="26" t="n"/>
      <c r="AB5" s="26" t="n"/>
      <c r="AC5" s="26" t="n"/>
      <c r="AD5" s="27" t="n"/>
      <c r="AE5" s="51" t="inlineStr">
        <is>
          <t>種別</t>
        </is>
      </c>
      <c r="AF5" s="27" t="n"/>
      <c r="AG5" s="32" t="inlineStr">
        <is>
          <t>テスト結果 - 第1回</t>
        </is>
      </c>
      <c r="AH5" s="29" t="n"/>
      <c r="AI5" s="29" t="n"/>
      <c r="AJ5" s="29" t="n"/>
      <c r="AK5" s="29" t="n"/>
      <c r="AL5" s="29" t="n"/>
      <c r="AM5" s="29" t="n"/>
      <c r="AN5" s="29" t="n"/>
      <c r="AO5" s="29" t="n"/>
      <c r="AP5" s="29" t="n"/>
      <c r="AQ5" s="29" t="n"/>
      <c r="AR5" s="29" t="n"/>
      <c r="AS5" s="29" t="n"/>
      <c r="AT5" s="30" t="n"/>
      <c r="AU5" s="32" t="inlineStr">
        <is>
          <t>テスト結果 - 第2回</t>
        </is>
      </c>
      <c r="AV5" s="29" t="n"/>
      <c r="AW5" s="29" t="n"/>
      <c r="AX5" s="29" t="n"/>
      <c r="AY5" s="29" t="n"/>
      <c r="AZ5" s="29" t="n"/>
      <c r="BA5" s="29" t="n"/>
      <c r="BB5" s="29" t="n"/>
      <c r="BC5" s="29" t="n"/>
      <c r="BD5" s="29" t="n"/>
      <c r="BE5" s="29" t="n"/>
      <c r="BF5" s="29" t="n"/>
      <c r="BG5" s="29" t="n"/>
      <c r="BH5" s="30" t="n"/>
      <c r="BI5" s="52" t="inlineStr">
        <is>
          <t>備考</t>
        </is>
      </c>
      <c r="BJ5" s="26" t="n"/>
      <c r="BK5" s="53" t="n"/>
    </row>
    <row r="6">
      <c r="A6" s="54" t="n"/>
      <c r="B6" s="55" t="n"/>
      <c r="C6" s="56" t="n"/>
      <c r="D6" s="57" t="n"/>
      <c r="E6" s="57" t="n"/>
      <c r="F6" s="55" t="n"/>
      <c r="G6" s="56" t="n"/>
      <c r="H6" s="57" t="n"/>
      <c r="I6" s="55" t="n"/>
      <c r="J6" s="56" t="n"/>
      <c r="K6" s="57" t="n"/>
      <c r="L6" s="55" t="n"/>
      <c r="M6" s="56" t="n"/>
      <c r="N6" s="57" t="n"/>
      <c r="O6" s="57" t="n"/>
      <c r="P6" s="57" t="n"/>
      <c r="Q6" s="55" t="n"/>
      <c r="R6" s="56" t="n"/>
      <c r="S6" s="57" t="n"/>
      <c r="T6" s="57" t="n"/>
      <c r="U6" s="57" t="n"/>
      <c r="V6" s="57" t="n"/>
      <c r="W6" s="57" t="n"/>
      <c r="X6" s="55" t="n"/>
      <c r="Y6" s="56" t="n"/>
      <c r="Z6" s="57" t="n"/>
      <c r="AA6" s="57" t="n"/>
      <c r="AB6" s="57" t="n"/>
      <c r="AC6" s="57" t="n"/>
      <c r="AD6" s="55" t="n"/>
      <c r="AE6" s="56" t="n"/>
      <c r="AF6" s="55" t="n"/>
      <c r="AG6" s="38" t="inlineStr">
        <is>
          <t>バグID</t>
        </is>
      </c>
      <c r="AH6" s="6" t="n"/>
      <c r="AI6" s="38" t="inlineStr">
        <is>
          <t>結果</t>
        </is>
      </c>
      <c r="AJ6" s="6" t="n"/>
      <c r="AK6" s="38" t="inlineStr">
        <is>
          <t>テスター</t>
        </is>
      </c>
      <c r="AL6" s="6" t="n"/>
      <c r="AM6" s="38" t="inlineStr">
        <is>
          <t>日付</t>
        </is>
      </c>
      <c r="AN6" s="5" t="n"/>
      <c r="AO6" s="6" t="n"/>
      <c r="AP6" s="38" t="inlineStr">
        <is>
          <t>EVD</t>
        </is>
      </c>
      <c r="AQ6" s="6" t="n"/>
      <c r="AR6" s="38" t="inlineStr">
        <is>
          <t>メモ</t>
        </is>
      </c>
      <c r="AS6" s="5" t="n"/>
      <c r="AT6" s="6" t="n"/>
      <c r="AU6" s="38" t="inlineStr">
        <is>
          <t>バグID</t>
        </is>
      </c>
      <c r="AV6" s="6" t="n"/>
      <c r="AW6" s="38" t="inlineStr">
        <is>
          <t>結果</t>
        </is>
      </c>
      <c r="AX6" s="6" t="n"/>
      <c r="AY6" s="38" t="inlineStr">
        <is>
          <t>テスター</t>
        </is>
      </c>
      <c r="AZ6" s="6" t="n"/>
      <c r="BA6" s="38" t="inlineStr">
        <is>
          <t>日付</t>
        </is>
      </c>
      <c r="BB6" s="5" t="n"/>
      <c r="BC6" s="6" t="n"/>
      <c r="BD6" s="38" t="inlineStr">
        <is>
          <t>EVD</t>
        </is>
      </c>
      <c r="BE6" s="6" t="n"/>
      <c r="BF6" s="38" t="inlineStr">
        <is>
          <t>メモ</t>
        </is>
      </c>
      <c r="BG6" s="5" t="n"/>
      <c r="BH6" s="6" t="n"/>
      <c r="BI6" s="56" t="n"/>
      <c r="BJ6" s="57" t="n"/>
      <c r="BK6" s="58" t="n"/>
    </row>
    <row r="7" ht="105" customHeight="1">
      <c r="A7" s="59" t="inlineStr">
        <is>
          <t>UAT-WEB-001</t>
        </is>
      </c>
      <c r="B7" s="6" t="n"/>
      <c r="C7" s="60" t="inlineStr">
        <is>
          <t>システム管理者</t>
        </is>
      </c>
      <c r="D7" s="5" t="n"/>
      <c r="E7" s="5" t="n"/>
      <c r="F7" s="6" t="n"/>
      <c r="G7" s="60" t="inlineStr">
        <is>
          <t>ログイン・セキュリティ</t>
        </is>
      </c>
      <c r="H7" s="5" t="n"/>
      <c r="I7" s="6" t="n"/>
      <c r="J7" s="60" t="inlineStr">
        <is>
          <t>システム管理者が正常にログインする（IPホワイトリスト）</t>
        </is>
      </c>
      <c r="K7" s="5" t="n"/>
      <c r="L7" s="6" t="n"/>
      <c r="M7" s="60" t="inlineStr">
        <is>
          <t>有効なシステム管理者アカウント。IPはホワイトリスト登録済み。</t>
        </is>
      </c>
      <c r="N7" s="5" t="n"/>
      <c r="O7" s="5" t="n"/>
      <c r="P7" s="5" t="n"/>
      <c r="Q7" s="6" t="n"/>
      <c r="R7" s="60" t="inlineStr">
        <is>
          <t>① 第1回（DEV）: https://dev.apl.purattocall.com/admin/login にアクセスする
第2回（PRD）: https://apl.purattocall.com/admin/login にアクセスする
② メールアドレスと有効なパスワードを入力する
③ 「ログイン」をクリックする</t>
        </is>
      </c>
      <c r="S7" s="5" t="n"/>
      <c r="T7" s="5" t="n"/>
      <c r="U7" s="5" t="n"/>
      <c r="V7" s="5" t="n"/>
      <c r="W7" s="5" t="n"/>
      <c r="X7" s="6" t="n"/>
      <c r="Y7" s="60" t="inlineStr">
        <is>
          <t>テナント一覧画面へ直接遷移し、OTP画面は表示されない。</t>
        </is>
      </c>
      <c r="Z7" s="5" t="n"/>
      <c r="AA7" s="5" t="n"/>
      <c r="AB7" s="5" t="n"/>
      <c r="AC7" s="5" t="n"/>
      <c r="AD7" s="6" t="n"/>
      <c r="AE7" s="61" t="inlineStr">
        <is>
          <t>N</t>
        </is>
      </c>
      <c r="AF7" s="6" t="n"/>
      <c r="AG7" s="61" t="n"/>
      <c r="AH7" s="6" t="n"/>
      <c r="AI7" s="61" t="n"/>
      <c r="AJ7" s="6" t="n"/>
      <c r="AK7" s="61" t="n"/>
      <c r="AL7" s="6" t="n"/>
      <c r="AM7" s="61" t="n"/>
      <c r="AN7" s="5" t="n"/>
      <c r="AO7" s="6" t="n"/>
      <c r="AP7" s="61" t="n"/>
      <c r="AQ7" s="6" t="n"/>
      <c r="AR7" s="60" t="n"/>
      <c r="AS7" s="5" t="n"/>
      <c r="AT7" s="6" t="n"/>
      <c r="AU7" s="61" t="n"/>
      <c r="AV7" s="6" t="n"/>
      <c r="AW7" s="61" t="n"/>
      <c r="AX7" s="6" t="n"/>
      <c r="AY7" s="61" t="n"/>
      <c r="AZ7" s="6" t="n"/>
      <c r="BA7" s="61" t="n"/>
      <c r="BB7" s="5" t="n"/>
      <c r="BC7" s="6" t="n"/>
      <c r="BD7" s="61" t="n"/>
      <c r="BE7" s="6" t="n"/>
      <c r="BF7" s="60" t="n"/>
      <c r="BG7" s="5" t="n"/>
      <c r="BH7" s="6" t="n"/>
      <c r="BI7" s="62" t="n"/>
      <c r="BJ7" s="5" t="n"/>
      <c r="BK7" s="40" t="n"/>
    </row>
    <row r="8" ht="45" customHeight="1">
      <c r="A8" s="63" t="inlineStr">
        <is>
          <t>UAT-WEB-002</t>
        </is>
      </c>
      <c r="B8" s="6" t="n"/>
      <c r="C8" s="64" t="inlineStr">
        <is>
          <t>システム管理者</t>
        </is>
      </c>
      <c r="D8" s="5" t="n"/>
      <c r="E8" s="5" t="n"/>
      <c r="F8" s="6" t="n"/>
      <c r="G8" s="64" t="inlineStr">
        <is>
          <t>ログイン・セキュリティ</t>
        </is>
      </c>
      <c r="H8" s="5" t="n"/>
      <c r="I8" s="6" t="n"/>
      <c r="J8" s="64" t="inlineStr">
        <is>
          <t>ログイン失敗 — パスワード誤り</t>
        </is>
      </c>
      <c r="K8" s="5" t="n"/>
      <c r="L8" s="6" t="n"/>
      <c r="M8" s="64" t="inlineStr">
        <is>
          <t>システム内に有効なアカウントが存在する</t>
        </is>
      </c>
      <c r="N8" s="5" t="n"/>
      <c r="O8" s="5" t="n"/>
      <c r="P8" s="5" t="n"/>
      <c r="Q8" s="6" t="n"/>
      <c r="R8" s="64" t="inlineStr">
        <is>
          <t>① 正しいメールアドレスと誤ったパスワードを入力する
② 「ログイン」をクリックする</t>
        </is>
      </c>
      <c r="S8" s="5" t="n"/>
      <c r="T8" s="5" t="n"/>
      <c r="U8" s="5" t="n"/>
      <c r="V8" s="5" t="n"/>
      <c r="W8" s="5" t="n"/>
      <c r="X8" s="6" t="n"/>
      <c r="Y8" s="64" t="inlineStr">
        <is>
          <t>エラーメッセージが表示され、画面遷移しない。5回連続で誤入力するとアカウントがロックされる。</t>
        </is>
      </c>
      <c r="Z8" s="5" t="n"/>
      <c r="AA8" s="5" t="n"/>
      <c r="AB8" s="5" t="n"/>
      <c r="AC8" s="5" t="n"/>
      <c r="AD8" s="6" t="n"/>
      <c r="AE8" s="65" t="inlineStr">
        <is>
          <t>A</t>
        </is>
      </c>
      <c r="AF8" s="6" t="n"/>
      <c r="AG8" s="65" t="n"/>
      <c r="AH8" s="6" t="n"/>
      <c r="AI8" s="65" t="n"/>
      <c r="AJ8" s="6" t="n"/>
      <c r="AK8" s="65" t="n"/>
      <c r="AL8" s="6" t="n"/>
      <c r="AM8" s="65" t="n"/>
      <c r="AN8" s="5" t="n"/>
      <c r="AO8" s="6" t="n"/>
      <c r="AP8" s="65" t="n"/>
      <c r="AQ8" s="6" t="n"/>
      <c r="AR8" s="64" t="n"/>
      <c r="AS8" s="5" t="n"/>
      <c r="AT8" s="6" t="n"/>
      <c r="AU8" s="65" t="n"/>
      <c r="AV8" s="6" t="n"/>
      <c r="AW8" s="65" t="n"/>
      <c r="AX8" s="6" t="n"/>
      <c r="AY8" s="65" t="n"/>
      <c r="AZ8" s="6" t="n"/>
      <c r="BA8" s="65" t="n"/>
      <c r="BB8" s="5" t="n"/>
      <c r="BC8" s="6" t="n"/>
      <c r="BD8" s="65" t="n"/>
      <c r="BE8" s="6" t="n"/>
      <c r="BF8" s="64" t="n"/>
      <c r="BG8" s="5" t="n"/>
      <c r="BH8" s="6" t="n"/>
      <c r="BI8" s="66" t="n"/>
      <c r="BJ8" s="5" t="n"/>
      <c r="BK8" s="40" t="n"/>
    </row>
    <row r="9" ht="45" customHeight="1">
      <c r="A9" s="59" t="inlineStr">
        <is>
          <t>UAT-WEB-003</t>
        </is>
      </c>
      <c r="B9" s="6" t="n"/>
      <c r="C9" s="60" t="inlineStr">
        <is>
          <t>システム管理者</t>
        </is>
      </c>
      <c r="D9" s="5" t="n"/>
      <c r="E9" s="5" t="n"/>
      <c r="F9" s="6" t="n"/>
      <c r="G9" s="60" t="inlineStr">
        <is>
          <t>ログイン・セキュリティ</t>
        </is>
      </c>
      <c r="H9" s="5" t="n"/>
      <c r="I9" s="6" t="n"/>
      <c r="J9" s="60" t="inlineStr">
        <is>
          <t>ログイン失敗 — IPがホワイトリスト外（システム/岡田電機管理者）</t>
        </is>
      </c>
      <c r="K9" s="5" t="n"/>
      <c r="L9" s="6" t="n"/>
      <c r="M9" s="60" t="inlineStr">
        <is>
          <t>現在のIPはホワイトリストに登録されていない</t>
        </is>
      </c>
      <c r="N9" s="5" t="n"/>
      <c r="O9" s="5" t="n"/>
      <c r="P9" s="5" t="n"/>
      <c r="Q9" s="6" t="n"/>
      <c r="R9" s="60" t="inlineStr">
        <is>
          <t>① 情報 ログイン 有効 の システム管理者
② 「ログイン」をクリックする</t>
        </is>
      </c>
      <c r="S9" s="5" t="n"/>
      <c r="T9" s="5" t="n"/>
      <c r="U9" s="5" t="n"/>
      <c r="V9" s="5" t="n"/>
      <c r="W9" s="5" t="n"/>
      <c r="X9" s="6" t="n"/>
      <c r="Y9" s="60" t="inlineStr">
        <is>
          <t>許可されていないIPのエラーメッセージが表示され、アクセスが拒否される。</t>
        </is>
      </c>
      <c r="Z9" s="5" t="n"/>
      <c r="AA9" s="5" t="n"/>
      <c r="AB9" s="5" t="n"/>
      <c r="AC9" s="5" t="n"/>
      <c r="AD9" s="6" t="n"/>
      <c r="AE9" s="61" t="inlineStr">
        <is>
          <t>N</t>
        </is>
      </c>
      <c r="AF9" s="6" t="n"/>
      <c r="AG9" s="61" t="n"/>
      <c r="AH9" s="6" t="n"/>
      <c r="AI9" s="61" t="n"/>
      <c r="AJ9" s="6" t="n"/>
      <c r="AK9" s="61" t="n"/>
      <c r="AL9" s="6" t="n"/>
      <c r="AM9" s="61" t="n"/>
      <c r="AN9" s="5" t="n"/>
      <c r="AO9" s="6" t="n"/>
      <c r="AP9" s="61" t="n"/>
      <c r="AQ9" s="6" t="n"/>
      <c r="AR9" s="60" t="n"/>
      <c r="AS9" s="5" t="n"/>
      <c r="AT9" s="6" t="n"/>
      <c r="AU9" s="61" t="n"/>
      <c r="AV9" s="6" t="n"/>
      <c r="AW9" s="61" t="n"/>
      <c r="AX9" s="6" t="n"/>
      <c r="AY9" s="61" t="n"/>
      <c r="AZ9" s="6" t="n"/>
      <c r="BA9" s="61" t="n"/>
      <c r="BB9" s="5" t="n"/>
      <c r="BC9" s="6" t="n"/>
      <c r="BD9" s="61" t="n"/>
      <c r="BE9" s="6" t="n"/>
      <c r="BF9" s="60" t="n"/>
      <c r="BG9" s="5" t="n"/>
      <c r="BH9" s="6" t="n"/>
      <c r="BI9" s="62" t="n"/>
      <c r="BJ9" s="5" t="n"/>
      <c r="BK9" s="40" t="n"/>
    </row>
    <row r="10" ht="120" customHeight="1">
      <c r="A10" s="63" t="inlineStr">
        <is>
          <t>UAT-WEB-004</t>
        </is>
      </c>
      <c r="B10" s="6" t="n"/>
      <c r="C10" s="64" t="inlineStr">
        <is>
          <t>システム管理者</t>
        </is>
      </c>
      <c r="D10" s="5" t="n"/>
      <c r="E10" s="5" t="n"/>
      <c r="F10" s="6" t="n"/>
      <c r="G10" s="64" t="inlineStr">
        <is>
          <t>ログイン・セキュリティ</t>
        </is>
      </c>
      <c r="H10" s="5" t="n"/>
      <c r="I10" s="6" t="n"/>
      <c r="J10" s="64" t="inlineStr">
        <is>
          <t>パスワード変更成功</t>
        </is>
      </c>
      <c r="K10" s="5" t="n"/>
      <c r="L10" s="6" t="n"/>
      <c r="M10" s="64" t="inlineStr">
        <is>
          <t>任意のロールでログイン済み</t>
        </is>
      </c>
      <c r="N10" s="5" t="n"/>
      <c r="O10" s="5" t="n"/>
      <c r="P10" s="5" t="n"/>
      <c r="Q10" s="6" t="n"/>
      <c r="R10" s="64" t="inlineStr">
        <is>
          <t>① 右上のユーザー名をクリックし、「パスワード変更」をクリックする
② 現在のパスワードを入力する
③ 新しいパスワードを入力する（8文字以上、大文字・数字・特殊文字を含む）
④ 新しいパスワードを入力する（確認）を入力する
⑤ 「確認」をクリックする</t>
        </is>
      </c>
      <c r="S10" s="5" t="n"/>
      <c r="T10" s="5" t="n"/>
      <c r="U10" s="5" t="n"/>
      <c r="V10" s="5" t="n"/>
      <c r="W10" s="5" t="n"/>
      <c r="X10" s="6" t="n"/>
      <c r="Y10" s="64" t="inlineStr">
        <is>
          <t>パスワードが正常に更新され、新しいパスワードでログインできる。</t>
        </is>
      </c>
      <c r="Z10" s="5" t="n"/>
      <c r="AA10" s="5" t="n"/>
      <c r="AB10" s="5" t="n"/>
      <c r="AC10" s="5" t="n"/>
      <c r="AD10" s="6" t="n"/>
      <c r="AE10" s="65" t="inlineStr">
        <is>
          <t>N</t>
        </is>
      </c>
      <c r="AF10" s="6" t="n"/>
      <c r="AG10" s="65" t="n"/>
      <c r="AH10" s="6" t="n"/>
      <c r="AI10" s="65" t="n"/>
      <c r="AJ10" s="6" t="n"/>
      <c r="AK10" s="65" t="n"/>
      <c r="AL10" s="6" t="n"/>
      <c r="AM10" s="65" t="n"/>
      <c r="AN10" s="5" t="n"/>
      <c r="AO10" s="6" t="n"/>
      <c r="AP10" s="65" t="n"/>
      <c r="AQ10" s="6" t="n"/>
      <c r="AR10" s="64" t="n"/>
      <c r="AS10" s="5" t="n"/>
      <c r="AT10" s="6" t="n"/>
      <c r="AU10" s="65" t="n"/>
      <c r="AV10" s="6" t="n"/>
      <c r="AW10" s="65" t="n"/>
      <c r="AX10" s="6" t="n"/>
      <c r="AY10" s="65" t="n"/>
      <c r="AZ10" s="6" t="n"/>
      <c r="BA10" s="65" t="n"/>
      <c r="BB10" s="5" t="n"/>
      <c r="BC10" s="6" t="n"/>
      <c r="BD10" s="65" t="n"/>
      <c r="BE10" s="6" t="n"/>
      <c r="BF10" s="64" t="n"/>
      <c r="BG10" s="5" t="n"/>
      <c r="BH10" s="6" t="n"/>
      <c r="BI10" s="66" t="n"/>
      <c r="BJ10" s="5" t="n"/>
      <c r="BK10" s="40" t="n"/>
    </row>
    <row r="11" ht="60" customHeight="1">
      <c r="A11" s="59" t="inlineStr">
        <is>
          <t>UAT-WEB-005</t>
        </is>
      </c>
      <c r="B11" s="6" t="n"/>
      <c r="C11" s="60" t="inlineStr">
        <is>
          <t>システム管理者</t>
        </is>
      </c>
      <c r="D11" s="5" t="n"/>
      <c r="E11" s="5" t="n"/>
      <c r="F11" s="6" t="n"/>
      <c r="G11" s="60" t="inlineStr">
        <is>
          <t>ログイン・セキュリティ</t>
        </is>
      </c>
      <c r="H11" s="5" t="n"/>
      <c r="I11" s="6" t="n"/>
      <c r="J11" s="60" t="inlineStr">
        <is>
          <t>パスワード変更失敗 — 新しいパスワードが条件を満たさない</t>
        </is>
      </c>
      <c r="K11" s="5" t="n"/>
      <c r="L11" s="6" t="n"/>
      <c r="M11" s="60" t="inlineStr">
        <is>
          <t>ログイン済み</t>
        </is>
      </c>
      <c r="N11" s="5" t="n"/>
      <c r="O11" s="5" t="n"/>
      <c r="P11" s="5" t="n"/>
      <c r="Q11" s="6" t="n"/>
      <c r="R11" s="60" t="inlineStr">
        <is>
          <t>① 「パスワード変更」をクリックする
② 小文字のみの新しいパスワードを入力する（大文字・数字・特殊文字を含まない）
③ 「確認」をクリックする</t>
        </is>
      </c>
      <c r="S11" s="5" t="n"/>
      <c r="T11" s="5" t="n"/>
      <c r="U11" s="5" t="n"/>
      <c r="V11" s="5" t="n"/>
      <c r="W11" s="5" t="n"/>
      <c r="X11" s="6" t="n"/>
      <c r="Y11" s="60" t="inlineStr">
        <is>
          <t>バリデーションエラーが表示され、パスワードは更新されない。</t>
        </is>
      </c>
      <c r="Z11" s="5" t="n"/>
      <c r="AA11" s="5" t="n"/>
      <c r="AB11" s="5" t="n"/>
      <c r="AC11" s="5" t="n"/>
      <c r="AD11" s="6" t="n"/>
      <c r="AE11" s="61" t="inlineStr">
        <is>
          <t>A</t>
        </is>
      </c>
      <c r="AF11" s="6" t="n"/>
      <c r="AG11" s="61" t="n"/>
      <c r="AH11" s="6" t="n"/>
      <c r="AI11" s="61" t="n"/>
      <c r="AJ11" s="6" t="n"/>
      <c r="AK11" s="61" t="n"/>
      <c r="AL11" s="6" t="n"/>
      <c r="AM11" s="61" t="n"/>
      <c r="AN11" s="5" t="n"/>
      <c r="AO11" s="6" t="n"/>
      <c r="AP11" s="61" t="n"/>
      <c r="AQ11" s="6" t="n"/>
      <c r="AR11" s="60" t="n"/>
      <c r="AS11" s="5" t="n"/>
      <c r="AT11" s="6" t="n"/>
      <c r="AU11" s="61" t="n"/>
      <c r="AV11" s="6" t="n"/>
      <c r="AW11" s="61" t="n"/>
      <c r="AX11" s="6" t="n"/>
      <c r="AY11" s="61" t="n"/>
      <c r="AZ11" s="6" t="n"/>
      <c r="BA11" s="61" t="n"/>
      <c r="BB11" s="5" t="n"/>
      <c r="BC11" s="6" t="n"/>
      <c r="BD11" s="61" t="n"/>
      <c r="BE11" s="6" t="n"/>
      <c r="BF11" s="60" t="n"/>
      <c r="BG11" s="5" t="n"/>
      <c r="BH11" s="6" t="n"/>
      <c r="BI11" s="62" t="n"/>
      <c r="BJ11" s="5" t="n"/>
      <c r="BK11" s="40" t="n"/>
    </row>
    <row r="12" ht="120" customHeight="1">
      <c r="A12" s="63" t="inlineStr">
        <is>
          <t>UAT-WEB-006</t>
        </is>
      </c>
      <c r="B12" s="6" t="n"/>
      <c r="C12" s="64" t="inlineStr">
        <is>
          <t>システム管理者</t>
        </is>
      </c>
      <c r="D12" s="5" t="n"/>
      <c r="E12" s="5" t="n"/>
      <c r="F12" s="6" t="n"/>
      <c r="G12" s="64" t="inlineStr">
        <is>
          <t>ログイン・セキュリティ</t>
        </is>
      </c>
      <c r="H12" s="5" t="n"/>
      <c r="I12" s="6" t="n"/>
      <c r="J12" s="64" t="inlineStr">
        <is>
          <t>メールOTPによるパスワード復旧</t>
        </is>
      </c>
      <c r="K12" s="5" t="n"/>
      <c r="L12" s="6" t="n"/>
      <c r="M12" s="64" t="inlineStr">
        <is>
          <t>システム内にアカウントが存在する</t>
        </is>
      </c>
      <c r="N12" s="5" t="n"/>
      <c r="O12" s="5" t="n"/>
      <c r="P12" s="5" t="n"/>
      <c r="Q12" s="6" t="n"/>
      <c r="R12" s="64" t="inlineStr">
        <is>
          <t>① 「パスワードをお忘れの方」をクリックする
② 登録済みメールアドレスを入力する
③ 「送信」をクリックする
④ 新しいパスワードを入力する
⑤ 「コード送信」をクリックする
⑥ メールで受信したOTPを入力し、「確認」をクリックする</t>
        </is>
      </c>
      <c r="S12" s="5" t="n"/>
      <c r="T12" s="5" t="n"/>
      <c r="U12" s="5" t="n"/>
      <c r="V12" s="5" t="n"/>
      <c r="W12" s="5" t="n"/>
      <c r="X12" s="6" t="n"/>
      <c r="Y12" s="64" t="inlineStr">
        <is>
          <t>パスワードが正常に再設定され、新しいパスワードでログインできる。</t>
        </is>
      </c>
      <c r="Z12" s="5" t="n"/>
      <c r="AA12" s="5" t="n"/>
      <c r="AB12" s="5" t="n"/>
      <c r="AC12" s="5" t="n"/>
      <c r="AD12" s="6" t="n"/>
      <c r="AE12" s="65" t="inlineStr">
        <is>
          <t>N</t>
        </is>
      </c>
      <c r="AF12" s="6" t="n"/>
      <c r="AG12" s="65" t="n"/>
      <c r="AH12" s="6" t="n"/>
      <c r="AI12" s="65" t="n"/>
      <c r="AJ12" s="6" t="n"/>
      <c r="AK12" s="65" t="n"/>
      <c r="AL12" s="6" t="n"/>
      <c r="AM12" s="65" t="n"/>
      <c r="AN12" s="5" t="n"/>
      <c r="AO12" s="6" t="n"/>
      <c r="AP12" s="65" t="n"/>
      <c r="AQ12" s="6" t="n"/>
      <c r="AR12" s="64" t="n"/>
      <c r="AS12" s="5" t="n"/>
      <c r="AT12" s="6" t="n"/>
      <c r="AU12" s="65" t="n"/>
      <c r="AV12" s="6" t="n"/>
      <c r="AW12" s="65" t="n"/>
      <c r="AX12" s="6" t="n"/>
      <c r="AY12" s="65" t="n"/>
      <c r="AZ12" s="6" t="n"/>
      <c r="BA12" s="65" t="n"/>
      <c r="BB12" s="5" t="n"/>
      <c r="BC12" s="6" t="n"/>
      <c r="BD12" s="65" t="n"/>
      <c r="BE12" s="6" t="n"/>
      <c r="BF12" s="64" t="n"/>
      <c r="BG12" s="5" t="n"/>
      <c r="BH12" s="6" t="n"/>
      <c r="BI12" s="66" t="n"/>
      <c r="BJ12" s="5" t="n"/>
      <c r="BK12" s="40" t="n"/>
    </row>
    <row r="13" ht="135" customHeight="1">
      <c r="A13" s="59" t="inlineStr">
        <is>
          <t>UAT-WEB-007</t>
        </is>
      </c>
      <c r="B13" s="6" t="n"/>
      <c r="C13" s="60" t="inlineStr">
        <is>
          <t>システム管理者</t>
        </is>
      </c>
      <c r="D13" s="5" t="n"/>
      <c r="E13" s="5" t="n"/>
      <c r="F13" s="6" t="n"/>
      <c r="G13" s="60" t="inlineStr">
        <is>
          <t>ログイン・セキュリティ</t>
        </is>
      </c>
      <c r="H13" s="5" t="n"/>
      <c r="I13" s="6" t="n"/>
      <c r="J13" s="60" t="inlineStr">
        <is>
          <t>パスワード再設定時にOTPを5回連続で誤入力する</t>
        </is>
      </c>
      <c r="K13" s="5" t="n"/>
      <c r="L13" s="6" t="n"/>
      <c r="M13" s="60" t="inlineStr">
        <is>
          <t>システム内に有効なアカウントが存在する</t>
        </is>
      </c>
      <c r="N13" s="5" t="n"/>
      <c r="O13" s="5" t="n"/>
      <c r="P13" s="5" t="n"/>
      <c r="Q13" s="6" t="n"/>
      <c r="R13" s="60" t="inlineStr">
        <is>
          <t>① 「パスワードをお忘れの方」をクリックする
② 登録済みメールアドレスを入力する
③ 「送信」をクリックする
④ 新しいパスワードを入力する
⑤ 「コード送信」をクリックする
⑥ 無効なOTPコードを入力する
⑦ 「確認」ボタンを5回連続でクリックする</t>
        </is>
      </c>
      <c r="S13" s="5" t="n"/>
      <c r="T13" s="5" t="n"/>
      <c r="U13" s="5" t="n"/>
      <c r="V13" s="5" t="n"/>
      <c r="W13" s="5" t="n"/>
      <c r="X13" s="6" t="n"/>
      <c r="Y13" s="60" t="inlineStr">
        <is>
          <t>「認証に失敗しました。誤った入力が多すぎたため、パスワード再設定のリクエストは無効となりました。10分後に再度お試しください。」というエラーが表示される。
パスワード再設定機能が10分間ロックされる。
ユーザーへ通知メールが1通送信される。</t>
        </is>
      </c>
      <c r="Z13" s="5" t="n"/>
      <c r="AA13" s="5" t="n"/>
      <c r="AB13" s="5" t="n"/>
      <c r="AC13" s="5" t="n"/>
      <c r="AD13" s="6" t="n"/>
      <c r="AE13" s="61" t="inlineStr">
        <is>
          <t>A</t>
        </is>
      </c>
      <c r="AF13" s="6" t="n"/>
      <c r="AG13" s="61" t="n"/>
      <c r="AH13" s="6" t="n"/>
      <c r="AI13" s="61" t="n"/>
      <c r="AJ13" s="6" t="n"/>
      <c r="AK13" s="61" t="n"/>
      <c r="AL13" s="6" t="n"/>
      <c r="AM13" s="61" t="n"/>
      <c r="AN13" s="5" t="n"/>
      <c r="AO13" s="6" t="n"/>
      <c r="AP13" s="61" t="n"/>
      <c r="AQ13" s="6" t="n"/>
      <c r="AR13" s="60" t="n"/>
      <c r="AS13" s="5" t="n"/>
      <c r="AT13" s="6" t="n"/>
      <c r="AU13" s="61" t="n"/>
      <c r="AV13" s="6" t="n"/>
      <c r="AW13" s="61" t="n"/>
      <c r="AX13" s="6" t="n"/>
      <c r="AY13" s="61" t="n"/>
      <c r="AZ13" s="6" t="n"/>
      <c r="BA13" s="61" t="n"/>
      <c r="BB13" s="5" t="n"/>
      <c r="BC13" s="6" t="n"/>
      <c r="BD13" s="61" t="n"/>
      <c r="BE13" s="6" t="n"/>
      <c r="BF13" s="60" t="n"/>
      <c r="BG13" s="5" t="n"/>
      <c r="BH13" s="6" t="n"/>
      <c r="BI13" s="62" t="n"/>
      <c r="BJ13" s="5" t="n"/>
      <c r="BK13" s="40" t="n"/>
    </row>
    <row r="14" ht="90" customHeight="1">
      <c r="A14" s="63" t="inlineStr">
        <is>
          <t>UAT-WEB-008</t>
        </is>
      </c>
      <c r="B14" s="6" t="n"/>
      <c r="C14" s="64" t="inlineStr">
        <is>
          <t>システム管理者</t>
        </is>
      </c>
      <c r="D14" s="5" t="n"/>
      <c r="E14" s="5" t="n"/>
      <c r="F14" s="6" t="n"/>
      <c r="G14" s="64" t="inlineStr">
        <is>
          <t>ログイン・セキュリティ</t>
        </is>
      </c>
      <c r="H14" s="5" t="n"/>
      <c r="I14" s="6" t="n"/>
      <c r="J14" s="64" t="inlineStr">
        <is>
          <t>OTPを5回連続で誤入力した後、ロック時間内に再度パスワード再設定を行う</t>
        </is>
      </c>
      <c r="K14" s="5" t="n"/>
      <c r="L14" s="6" t="n"/>
      <c r="M14" s="64" t="inlineStr">
        <is>
          <t>パスワード再設定機能がロック中のアカウントである。</t>
        </is>
      </c>
      <c r="N14" s="5" t="n"/>
      <c r="O14" s="5" t="n"/>
      <c r="P14" s="5" t="n"/>
      <c r="Q14" s="6" t="n"/>
      <c r="R14" s="64" t="inlineStr">
        <is>
          <t>① 「パスワードをお忘れの方」をクリックする
② 登録済みメールアドレスを入力する
③ 「送信」をクリックする</t>
        </is>
      </c>
      <c r="S14" s="5" t="n"/>
      <c r="T14" s="5" t="n"/>
      <c r="U14" s="5" t="n"/>
      <c r="V14" s="5" t="n"/>
      <c r="W14" s="5" t="n"/>
      <c r="X14" s="6" t="n"/>
      <c r="Y14" s="64" t="inlineStr">
        <is>
          <t>「あなたのアカウントのパスワードリセット機能が{0}までロックされています。」というエラーが表示される。
{0}には、パスワード再設定機能のロック解除時刻（例：10:30）が表示される。</t>
        </is>
      </c>
      <c r="Z14" s="5" t="n"/>
      <c r="AA14" s="5" t="n"/>
      <c r="AB14" s="5" t="n"/>
      <c r="AC14" s="5" t="n"/>
      <c r="AD14" s="6" t="n"/>
      <c r="AE14" s="65" t="inlineStr">
        <is>
          <t>N</t>
        </is>
      </c>
      <c r="AF14" s="6" t="n"/>
      <c r="AG14" s="65" t="n"/>
      <c r="AH14" s="6" t="n"/>
      <c r="AI14" s="65" t="n"/>
      <c r="AJ14" s="6" t="n"/>
      <c r="AK14" s="65" t="n"/>
      <c r="AL14" s="6" t="n"/>
      <c r="AM14" s="65" t="n"/>
      <c r="AN14" s="5" t="n"/>
      <c r="AO14" s="6" t="n"/>
      <c r="AP14" s="65" t="n"/>
      <c r="AQ14" s="6" t="n"/>
      <c r="AR14" s="64" t="n"/>
      <c r="AS14" s="5" t="n"/>
      <c r="AT14" s="6" t="n"/>
      <c r="AU14" s="65" t="n"/>
      <c r="AV14" s="6" t="n"/>
      <c r="AW14" s="65" t="n"/>
      <c r="AX14" s="6" t="n"/>
      <c r="AY14" s="65" t="n"/>
      <c r="AZ14" s="6" t="n"/>
      <c r="BA14" s="65" t="n"/>
      <c r="BB14" s="5" t="n"/>
      <c r="BC14" s="6" t="n"/>
      <c r="BD14" s="65" t="n"/>
      <c r="BE14" s="6" t="n"/>
      <c r="BF14" s="64" t="n"/>
      <c r="BG14" s="5" t="n"/>
      <c r="BH14" s="6" t="n"/>
      <c r="BI14" s="66" t="n"/>
      <c r="BJ14" s="5" t="n"/>
      <c r="BK14" s="40" t="n"/>
    </row>
    <row r="15" ht="60" customHeight="1">
      <c r="A15" s="59" t="inlineStr">
        <is>
          <t>UAT-WEB-009</t>
        </is>
      </c>
      <c r="B15" s="6" t="n"/>
      <c r="C15" s="60" t="inlineStr">
        <is>
          <t>システム管理者</t>
        </is>
      </c>
      <c r="D15" s="5" t="n"/>
      <c r="E15" s="5" t="n"/>
      <c r="F15" s="6" t="n"/>
      <c r="G15" s="60" t="inlineStr">
        <is>
          <t>ログイン・セキュリティ</t>
        </is>
      </c>
      <c r="H15" s="5" t="n"/>
      <c r="I15" s="6" t="n"/>
      <c r="J15" s="60" t="inlineStr">
        <is>
          <t>5回連続ログイン失敗</t>
        </is>
      </c>
      <c r="K15" s="5" t="n"/>
      <c r="L15" s="6" t="n"/>
      <c r="M15" s="60" t="inlineStr">
        <is>
          <t>システム内に有効なアカウントが存在する</t>
        </is>
      </c>
      <c r="N15" s="5" t="n"/>
      <c r="O15" s="5" t="n"/>
      <c r="P15" s="5" t="n"/>
      <c r="Q15" s="6" t="n"/>
      <c r="R15" s="60" t="inlineStr">
        <is>
          <t>① 正しいメールアドレスと誤ったパスワードを入力する
② 5回連続で実行する
③ 「ログイン」をクリックする</t>
        </is>
      </c>
      <c r="S15" s="5" t="n"/>
      <c r="T15" s="5" t="n"/>
      <c r="U15" s="5" t="n"/>
      <c r="V15" s="5" t="n"/>
      <c r="W15" s="5" t="n"/>
      <c r="X15" s="6" t="n"/>
      <c r="Y15" s="60" t="inlineStr">
        <is>
          <t>5回連続で誤入力するとアカウントがロックされる。
パスワード再設定機能でパスワードを再設定する。</t>
        </is>
      </c>
      <c r="Z15" s="5" t="n"/>
      <c r="AA15" s="5" t="n"/>
      <c r="AB15" s="5" t="n"/>
      <c r="AC15" s="5" t="n"/>
      <c r="AD15" s="6" t="n"/>
      <c r="AE15" s="61" t="inlineStr">
        <is>
          <t>N</t>
        </is>
      </c>
      <c r="AF15" s="6" t="n"/>
      <c r="AG15" s="61" t="n"/>
      <c r="AH15" s="6" t="n"/>
      <c r="AI15" s="61" t="n"/>
      <c r="AJ15" s="6" t="n"/>
      <c r="AK15" s="61" t="n"/>
      <c r="AL15" s="6" t="n"/>
      <c r="AM15" s="61" t="n"/>
      <c r="AN15" s="5" t="n"/>
      <c r="AO15" s="6" t="n"/>
      <c r="AP15" s="61" t="n"/>
      <c r="AQ15" s="6" t="n"/>
      <c r="AR15" s="60" t="n"/>
      <c r="AS15" s="5" t="n"/>
      <c r="AT15" s="6" t="n"/>
      <c r="AU15" s="61" t="n"/>
      <c r="AV15" s="6" t="n"/>
      <c r="AW15" s="61" t="n"/>
      <c r="AX15" s="6" t="n"/>
      <c r="AY15" s="61" t="n"/>
      <c r="AZ15" s="6" t="n"/>
      <c r="BA15" s="61" t="n"/>
      <c r="BB15" s="5" t="n"/>
      <c r="BC15" s="6" t="n"/>
      <c r="BD15" s="61" t="n"/>
      <c r="BE15" s="6" t="n"/>
      <c r="BF15" s="60" t="n"/>
      <c r="BG15" s="5" t="n"/>
      <c r="BH15" s="6" t="n"/>
      <c r="BI15" s="62" t="n"/>
      <c r="BJ15" s="5" t="n"/>
      <c r="BK15" s="40" t="n"/>
    </row>
    <row r="16" ht="135" customHeight="1">
      <c r="A16" s="63" t="inlineStr">
        <is>
          <t>UAT-WEB-010</t>
        </is>
      </c>
      <c r="B16" s="6" t="n"/>
      <c r="C16" s="64" t="inlineStr">
        <is>
          <t>システム管理者</t>
        </is>
      </c>
      <c r="D16" s="5" t="n"/>
      <c r="E16" s="5" t="n"/>
      <c r="F16" s="6" t="n"/>
      <c r="G16" s="64" t="inlineStr">
        <is>
          <t>テナント管理</t>
        </is>
      </c>
      <c r="H16" s="5" t="n"/>
      <c r="I16" s="6" t="n"/>
      <c r="J16" s="64" t="inlineStr">
        <is>
          <t>新規テナント作成 — 固定電話を利用するテナント</t>
        </is>
      </c>
      <c r="K16" s="5" t="n"/>
      <c r="L16" s="6" t="n"/>
      <c r="M16" s="64" t="inlineStr">
        <is>
          <t>システム管理者でログイン</t>
        </is>
      </c>
      <c r="N16" s="5" t="n"/>
      <c r="O16" s="5" t="n"/>
      <c r="P16" s="5" t="n"/>
      <c r="Q16" s="6" t="n"/>
      <c r="R16" s="64" t="inlineStr">
        <is>
          <t>① 「テナント作成」をクリックする
② 「固定電話利用する」チェックボックスにチェックを入れる
③ テナント番号を範囲内 111–154
④ テナント名、会社ロゴを入力する
⑤ 契約情報、請求情報を入力する
⑥ 少なくとも1名のテナント管理者を入力する
⑦ 「保存」→「OK」をクリックする</t>
        </is>
      </c>
      <c r="S16" s="5" t="n"/>
      <c r="T16" s="5" t="n"/>
      <c r="U16" s="5" t="n"/>
      <c r="V16" s="5" t="n"/>
      <c r="W16" s="5" t="n"/>
      <c r="X16" s="6" t="n"/>
      <c r="Y16" s="64" t="inlineStr">
        <is>
          <t>テナントは「登録待ち」状態で作成される。
ユーザーアップロード確認ポップアップが表示される。
注: ユーザーアップロード機能は下記「ユーザーインポート」のテストケースを参照。</t>
        </is>
      </c>
      <c r="Z16" s="5" t="n"/>
      <c r="AA16" s="5" t="n"/>
      <c r="AB16" s="5" t="n"/>
      <c r="AC16" s="5" t="n"/>
      <c r="AD16" s="6" t="n"/>
      <c r="AE16" s="65" t="inlineStr">
        <is>
          <t>N</t>
        </is>
      </c>
      <c r="AF16" s="6" t="n"/>
      <c r="AG16" s="65" t="n"/>
      <c r="AH16" s="6" t="n"/>
      <c r="AI16" s="65" t="n"/>
      <c r="AJ16" s="6" t="n"/>
      <c r="AK16" s="65" t="n"/>
      <c r="AL16" s="6" t="n"/>
      <c r="AM16" s="65" t="n"/>
      <c r="AN16" s="5" t="n"/>
      <c r="AO16" s="6" t="n"/>
      <c r="AP16" s="65" t="n"/>
      <c r="AQ16" s="6" t="n"/>
      <c r="AR16" s="64" t="n"/>
      <c r="AS16" s="5" t="n"/>
      <c r="AT16" s="6" t="n"/>
      <c r="AU16" s="65" t="n"/>
      <c r="AV16" s="6" t="n"/>
      <c r="AW16" s="65" t="n"/>
      <c r="AX16" s="6" t="n"/>
      <c r="AY16" s="65" t="n"/>
      <c r="AZ16" s="6" t="n"/>
      <c r="BA16" s="65" t="n"/>
      <c r="BB16" s="5" t="n"/>
      <c r="BC16" s="6" t="n"/>
      <c r="BD16" s="65" t="n"/>
      <c r="BE16" s="6" t="n"/>
      <c r="BF16" s="64" t="n"/>
      <c r="BG16" s="5" t="n"/>
      <c r="BH16" s="6" t="n"/>
      <c r="BI16" s="66" t="n"/>
      <c r="BJ16" s="5" t="n"/>
      <c r="BK16" s="40" t="n"/>
    </row>
    <row r="17" ht="90" customHeight="1">
      <c r="A17" s="59" t="inlineStr">
        <is>
          <t>UAT-WEB-011</t>
        </is>
      </c>
      <c r="B17" s="6" t="n"/>
      <c r="C17" s="60" t="inlineStr">
        <is>
          <t>システム管理者</t>
        </is>
      </c>
      <c r="D17" s="5" t="n"/>
      <c r="E17" s="5" t="n"/>
      <c r="F17" s="6" t="n"/>
      <c r="G17" s="60" t="inlineStr">
        <is>
          <t>テナント管理</t>
        </is>
      </c>
      <c r="H17" s="5" t="n"/>
      <c r="I17" s="6" t="n"/>
      <c r="J17" s="60" t="inlineStr">
        <is>
          <t>新規テナント作成 — 固定電話を利用しない</t>
        </is>
      </c>
      <c r="K17" s="5" t="n"/>
      <c r="L17" s="6" t="n"/>
      <c r="M17" s="60" t="inlineStr">
        <is>
          <t>システム管理者でログイン</t>
        </is>
      </c>
      <c r="N17" s="5" t="n"/>
      <c r="O17" s="5" t="n"/>
      <c r="P17" s="5" t="n"/>
      <c r="Q17" s="6" t="n"/>
      <c r="R17" s="60" t="inlineStr">
        <is>
          <t>① 「テナント作成」をクリックする
② 「固定電話利用する」チェックボックスにチェックを入れない
③ テナント番号を範囲内 500–999
④ 必須項目をすべて入力する
⑤ 「保存」→「OK」をクリックする</t>
        </is>
      </c>
      <c r="S17" s="5" t="n"/>
      <c r="T17" s="5" t="n"/>
      <c r="U17" s="5" t="n"/>
      <c r="V17" s="5" t="n"/>
      <c r="W17" s="5" t="n"/>
      <c r="X17" s="6" t="n"/>
      <c r="Y17" s="60" t="inlineStr">
        <is>
          <t>テナントは「登録待ち」状態で作成される。ユーザーアップロード確認ポップアップが表示される。
注: ユーザーアップロード機能は下記「ユーザーインポート」のテストケースを参照。</t>
        </is>
      </c>
      <c r="Z17" s="5" t="n"/>
      <c r="AA17" s="5" t="n"/>
      <c r="AB17" s="5" t="n"/>
      <c r="AC17" s="5" t="n"/>
      <c r="AD17" s="6" t="n"/>
      <c r="AE17" s="61" t="inlineStr">
        <is>
          <t>N</t>
        </is>
      </c>
      <c r="AF17" s="6" t="n"/>
      <c r="AG17" s="61" t="n"/>
      <c r="AH17" s="6" t="n"/>
      <c r="AI17" s="61" t="n"/>
      <c r="AJ17" s="6" t="n"/>
      <c r="AK17" s="61" t="n"/>
      <c r="AL17" s="6" t="n"/>
      <c r="AM17" s="61" t="n"/>
      <c r="AN17" s="5" t="n"/>
      <c r="AO17" s="6" t="n"/>
      <c r="AP17" s="61" t="n"/>
      <c r="AQ17" s="6" t="n"/>
      <c r="AR17" s="60" t="n"/>
      <c r="AS17" s="5" t="n"/>
      <c r="AT17" s="6" t="n"/>
      <c r="AU17" s="61" t="n"/>
      <c r="AV17" s="6" t="n"/>
      <c r="AW17" s="61" t="n"/>
      <c r="AX17" s="6" t="n"/>
      <c r="AY17" s="61" t="n"/>
      <c r="AZ17" s="6" t="n"/>
      <c r="BA17" s="61" t="n"/>
      <c r="BB17" s="5" t="n"/>
      <c r="BC17" s="6" t="n"/>
      <c r="BD17" s="61" t="n"/>
      <c r="BE17" s="6" t="n"/>
      <c r="BF17" s="60" t="n"/>
      <c r="BG17" s="5" t="n"/>
      <c r="BH17" s="6" t="n"/>
      <c r="BI17" s="62" t="n"/>
      <c r="BJ17" s="5" t="n"/>
      <c r="BK17" s="40" t="n"/>
    </row>
    <row r="18" ht="90" customHeight="1">
      <c r="A18" s="63" t="inlineStr">
        <is>
          <t>UAT-WEB-012</t>
        </is>
      </c>
      <c r="B18" s="6" t="n"/>
      <c r="C18" s="64" t="inlineStr">
        <is>
          <t>システム管理者</t>
        </is>
      </c>
      <c r="D18" s="5" t="n"/>
      <c r="E18" s="5" t="n"/>
      <c r="F18" s="6" t="n"/>
      <c r="G18" s="64" t="inlineStr">
        <is>
          <t>テナント管理</t>
        </is>
      </c>
      <c r="H18" s="5" t="n"/>
      <c r="I18" s="6" t="n"/>
      <c r="J18" s="64" t="inlineStr">
        <is>
          <t>テナント作成失敗 — テナント番号が範囲外（固定電話）</t>
        </is>
      </c>
      <c r="K18" s="5" t="n"/>
      <c r="L18" s="6" t="n"/>
      <c r="M18" s="64" t="inlineStr">
        <is>
          <t>システム管理者でログイン済み。「固定電話利用する」にチェック済み。</t>
        </is>
      </c>
      <c r="N18" s="5" t="n"/>
      <c r="O18" s="5" t="n"/>
      <c r="P18" s="5" t="n"/>
      <c r="Q18" s="6" t="n"/>
      <c r="R18" s="64" t="inlineStr">
        <is>
          <t>① 「テナント作成」をクリックするをクリックし、固定電話のチェックボックスにチェックを入れる
② テナント番号 = 500 を入力する（111–154の範囲外）
③ 「保存」をクリックする</t>
        </is>
      </c>
      <c r="S18" s="5" t="n"/>
      <c r="T18" s="5" t="n"/>
      <c r="U18" s="5" t="n"/>
      <c r="V18" s="5" t="n"/>
      <c r="W18" s="5" t="n"/>
      <c r="X18" s="6" t="n"/>
      <c r="Y18" s="64" t="inlineStr">
        <is>
          <t>バリデーションエラーが表示され、テナントは作成されない。</t>
        </is>
      </c>
      <c r="Z18" s="5" t="n"/>
      <c r="AA18" s="5" t="n"/>
      <c r="AB18" s="5" t="n"/>
      <c r="AC18" s="5" t="n"/>
      <c r="AD18" s="6" t="n"/>
      <c r="AE18" s="65" t="inlineStr">
        <is>
          <t>A</t>
        </is>
      </c>
      <c r="AF18" s="6" t="n"/>
      <c r="AG18" s="65" t="n"/>
      <c r="AH18" s="6" t="n"/>
      <c r="AI18" s="65" t="n"/>
      <c r="AJ18" s="6" t="n"/>
      <c r="AK18" s="65" t="n"/>
      <c r="AL18" s="6" t="n"/>
      <c r="AM18" s="65" t="n"/>
      <c r="AN18" s="5" t="n"/>
      <c r="AO18" s="6" t="n"/>
      <c r="AP18" s="65" t="n"/>
      <c r="AQ18" s="6" t="n"/>
      <c r="AR18" s="64" t="n"/>
      <c r="AS18" s="5" t="n"/>
      <c r="AT18" s="6" t="n"/>
      <c r="AU18" s="65" t="n"/>
      <c r="AV18" s="6" t="n"/>
      <c r="AW18" s="65" t="n"/>
      <c r="AX18" s="6" t="n"/>
      <c r="AY18" s="65" t="n"/>
      <c r="AZ18" s="6" t="n"/>
      <c r="BA18" s="65" t="n"/>
      <c r="BB18" s="5" t="n"/>
      <c r="BC18" s="6" t="n"/>
      <c r="BD18" s="65" t="n"/>
      <c r="BE18" s="6" t="n"/>
      <c r="BF18" s="64" t="n"/>
      <c r="BG18" s="5" t="n"/>
      <c r="BH18" s="6" t="n"/>
      <c r="BI18" s="66" t="n"/>
      <c r="BJ18" s="5" t="n"/>
      <c r="BK18" s="40" t="n"/>
    </row>
    <row r="19" ht="60" customHeight="1">
      <c r="A19" s="59" t="inlineStr">
        <is>
          <t>UAT-WEB-013</t>
        </is>
      </c>
      <c r="B19" s="6" t="n"/>
      <c r="C19" s="60" t="inlineStr">
        <is>
          <t>システム管理者</t>
        </is>
      </c>
      <c r="D19" s="5" t="n"/>
      <c r="E19" s="5" t="n"/>
      <c r="F19" s="6" t="n"/>
      <c r="G19" s="60" t="inlineStr">
        <is>
          <t>テナント管理</t>
        </is>
      </c>
      <c r="H19" s="5" t="n"/>
      <c r="I19" s="6" t="n"/>
      <c r="J19" s="60" t="inlineStr">
        <is>
          <t>テナント作成失敗 — テナント管理者不足</t>
        </is>
      </c>
      <c r="K19" s="5" t="n"/>
      <c r="L19" s="6" t="n"/>
      <c r="M19" s="60" t="inlineStr">
        <is>
          <t>システム管理者でログイン</t>
        </is>
      </c>
      <c r="N19" s="5" t="n"/>
      <c r="O19" s="5" t="n"/>
      <c r="P19" s="5" t="n"/>
      <c r="Q19" s="6" t="n"/>
      <c r="R19" s="60" t="inlineStr">
        <is>
          <t>① テナント情報をすべて入力する
② テナント管理者情報を入力しない
③ 「保存」をクリックする</t>
        </is>
      </c>
      <c r="S19" s="5" t="n"/>
      <c r="T19" s="5" t="n"/>
      <c r="U19" s="5" t="n"/>
      <c r="V19" s="5" t="n"/>
      <c r="W19" s="5" t="n"/>
      <c r="X19" s="6" t="n"/>
      <c r="Y19" s="60" t="inlineStr">
        <is>
          <t>少なくとも1名のテナント管理者入力が必須である旨のバリデーションエラーが表示され、テナントは作成されない。</t>
        </is>
      </c>
      <c r="Z19" s="5" t="n"/>
      <c r="AA19" s="5" t="n"/>
      <c r="AB19" s="5" t="n"/>
      <c r="AC19" s="5" t="n"/>
      <c r="AD19" s="6" t="n"/>
      <c r="AE19" s="61" t="inlineStr">
        <is>
          <t>A</t>
        </is>
      </c>
      <c r="AF19" s="6" t="n"/>
      <c r="AG19" s="61" t="n"/>
      <c r="AH19" s="6" t="n"/>
      <c r="AI19" s="61" t="n"/>
      <c r="AJ19" s="6" t="n"/>
      <c r="AK19" s="61" t="n"/>
      <c r="AL19" s="6" t="n"/>
      <c r="AM19" s="61" t="n"/>
      <c r="AN19" s="5" t="n"/>
      <c r="AO19" s="6" t="n"/>
      <c r="AP19" s="61" t="n"/>
      <c r="AQ19" s="6" t="n"/>
      <c r="AR19" s="60" t="n"/>
      <c r="AS19" s="5" t="n"/>
      <c r="AT19" s="6" t="n"/>
      <c r="AU19" s="61" t="n"/>
      <c r="AV19" s="6" t="n"/>
      <c r="AW19" s="61" t="n"/>
      <c r="AX19" s="6" t="n"/>
      <c r="AY19" s="61" t="n"/>
      <c r="AZ19" s="6" t="n"/>
      <c r="BA19" s="61" t="n"/>
      <c r="BB19" s="5" t="n"/>
      <c r="BC19" s="6" t="n"/>
      <c r="BD19" s="61" t="n"/>
      <c r="BE19" s="6" t="n"/>
      <c r="BF19" s="60" t="n"/>
      <c r="BG19" s="5" t="n"/>
      <c r="BH19" s="6" t="n"/>
      <c r="BI19" s="62" t="n"/>
      <c r="BJ19" s="5" t="n"/>
      <c r="BK19" s="40" t="n"/>
    </row>
    <row r="20" ht="45" customHeight="1">
      <c r="A20" s="63" t="inlineStr">
        <is>
          <t>UAT-WEB-014</t>
        </is>
      </c>
      <c r="B20" s="6" t="n"/>
      <c r="C20" s="64" t="inlineStr">
        <is>
          <t>システム管理者</t>
        </is>
      </c>
      <c r="D20" s="5" t="n"/>
      <c r="E20" s="5" t="n"/>
      <c r="F20" s="6" t="n"/>
      <c r="G20" s="64" t="inlineStr">
        <is>
          <t>テナント管理</t>
        </is>
      </c>
      <c r="H20" s="5" t="n"/>
      <c r="I20" s="6" t="n"/>
      <c r="J20" s="64" t="inlineStr">
        <is>
          <t>テナント名でテナントを検索</t>
        </is>
      </c>
      <c r="K20" s="5" t="n"/>
      <c r="L20" s="6" t="n"/>
      <c r="M20" s="64" t="inlineStr">
        <is>
          <t>システム内に少なくとも2件のテナントが存在する</t>
        </is>
      </c>
      <c r="N20" s="5" t="n"/>
      <c r="O20" s="5" t="n"/>
      <c r="P20" s="5" t="n"/>
      <c r="Q20" s="6" t="n"/>
      <c r="R20" s="64" t="inlineStr">
        <is>
          <t>① テナント一覧画面で テナント名欄にテナント名を入力する
② 「検索」をクリックする</t>
        </is>
      </c>
      <c r="S20" s="5" t="n"/>
      <c r="T20" s="5" t="n"/>
      <c r="U20" s="5" t="n"/>
      <c r="V20" s="5" t="n"/>
      <c r="W20" s="5" t="n"/>
      <c r="X20" s="6" t="n"/>
      <c r="Y20" s="64" t="inlineStr">
        <is>
          <t>名前に一致するテナントのみ一覧に表示され、他のテナントは非表示になる。</t>
        </is>
      </c>
      <c r="Z20" s="5" t="n"/>
      <c r="AA20" s="5" t="n"/>
      <c r="AB20" s="5" t="n"/>
      <c r="AC20" s="5" t="n"/>
      <c r="AD20" s="6" t="n"/>
      <c r="AE20" s="65" t="inlineStr">
        <is>
          <t>N</t>
        </is>
      </c>
      <c r="AF20" s="6" t="n"/>
      <c r="AG20" s="65" t="n"/>
      <c r="AH20" s="6" t="n"/>
      <c r="AI20" s="65" t="n"/>
      <c r="AJ20" s="6" t="n"/>
      <c r="AK20" s="65" t="n"/>
      <c r="AL20" s="6" t="n"/>
      <c r="AM20" s="65" t="n"/>
      <c r="AN20" s="5" t="n"/>
      <c r="AO20" s="6" t="n"/>
      <c r="AP20" s="65" t="n"/>
      <c r="AQ20" s="6" t="n"/>
      <c r="AR20" s="64" t="n"/>
      <c r="AS20" s="5" t="n"/>
      <c r="AT20" s="6" t="n"/>
      <c r="AU20" s="65" t="n"/>
      <c r="AV20" s="6" t="n"/>
      <c r="AW20" s="65" t="n"/>
      <c r="AX20" s="6" t="n"/>
      <c r="AY20" s="65" t="n"/>
      <c r="AZ20" s="6" t="n"/>
      <c r="BA20" s="65" t="n"/>
      <c r="BB20" s="5" t="n"/>
      <c r="BC20" s="6" t="n"/>
      <c r="BD20" s="65" t="n"/>
      <c r="BE20" s="6" t="n"/>
      <c r="BF20" s="64" t="n"/>
      <c r="BG20" s="5" t="n"/>
      <c r="BH20" s="6" t="n"/>
      <c r="BI20" s="66" t="n"/>
      <c r="BJ20" s="5" t="n"/>
      <c r="BK20" s="40" t="n"/>
    </row>
    <row r="21" ht="45" customHeight="1">
      <c r="A21" s="59" t="inlineStr">
        <is>
          <t>UAT-WEB-015</t>
        </is>
      </c>
      <c r="B21" s="6" t="n"/>
      <c r="C21" s="60" t="inlineStr">
        <is>
          <t>システム管理者</t>
        </is>
      </c>
      <c r="D21" s="5" t="n"/>
      <c r="E21" s="5" t="n"/>
      <c r="F21" s="6" t="n"/>
      <c r="G21" s="60" t="inlineStr">
        <is>
          <t>テナント管理</t>
        </is>
      </c>
      <c r="H21" s="5" t="n"/>
      <c r="I21" s="6" t="n"/>
      <c r="J21" s="60" t="inlineStr">
        <is>
          <t>「登録待ち」状態でテナントを絞り込む</t>
        </is>
      </c>
      <c r="K21" s="5" t="n"/>
      <c r="L21" s="6" t="n"/>
      <c r="M21" s="60" t="inlineStr">
        <is>
          <t>「登録待ち」状態のテナントが存在する</t>
        </is>
      </c>
      <c r="N21" s="5" t="n"/>
      <c r="O21" s="5" t="n"/>
      <c r="P21" s="5" t="n"/>
      <c r="Q21" s="6" t="n"/>
      <c r="R21" s="60" t="inlineStr">
        <is>
          <t>① テナント一覧画面で:
状態ドロップダウンで「登録待ち」
② 「検索」をクリックする</t>
        </is>
      </c>
      <c r="S21" s="5" t="n"/>
      <c r="T21" s="5" t="n"/>
      <c r="U21" s="5" t="n"/>
      <c r="V21" s="5" t="n"/>
      <c r="W21" s="5" t="n"/>
      <c r="X21" s="6" t="n"/>
      <c r="Y21" s="60" t="inlineStr">
        <is>
          <t>「登録待ち」状態のテナントのみ表示される。</t>
        </is>
      </c>
      <c r="Z21" s="5" t="n"/>
      <c r="AA21" s="5" t="n"/>
      <c r="AB21" s="5" t="n"/>
      <c r="AC21" s="5" t="n"/>
      <c r="AD21" s="6" t="n"/>
      <c r="AE21" s="61" t="inlineStr">
        <is>
          <t>N</t>
        </is>
      </c>
      <c r="AF21" s="6" t="n"/>
      <c r="AG21" s="61" t="n"/>
      <c r="AH21" s="6" t="n"/>
      <c r="AI21" s="61" t="n"/>
      <c r="AJ21" s="6" t="n"/>
      <c r="AK21" s="61" t="n"/>
      <c r="AL21" s="6" t="n"/>
      <c r="AM21" s="61" t="n"/>
      <c r="AN21" s="5" t="n"/>
      <c r="AO21" s="6" t="n"/>
      <c r="AP21" s="61" t="n"/>
      <c r="AQ21" s="6" t="n"/>
      <c r="AR21" s="60" t="n"/>
      <c r="AS21" s="5" t="n"/>
      <c r="AT21" s="6" t="n"/>
      <c r="AU21" s="61" t="n"/>
      <c r="AV21" s="6" t="n"/>
      <c r="AW21" s="61" t="n"/>
      <c r="AX21" s="6" t="n"/>
      <c r="AY21" s="61" t="n"/>
      <c r="AZ21" s="6" t="n"/>
      <c r="BA21" s="61" t="n"/>
      <c r="BB21" s="5" t="n"/>
      <c r="BC21" s="6" t="n"/>
      <c r="BD21" s="61" t="n"/>
      <c r="BE21" s="6" t="n"/>
      <c r="BF21" s="60" t="n"/>
      <c r="BG21" s="5" t="n"/>
      <c r="BH21" s="6" t="n"/>
      <c r="BI21" s="62" t="n"/>
      <c r="BJ21" s="5" t="n"/>
      <c r="BK21" s="40" t="n"/>
    </row>
    <row r="22" ht="60" customHeight="1">
      <c r="A22" s="63" t="inlineStr">
        <is>
          <t>UAT-WEB-016</t>
        </is>
      </c>
      <c r="B22" s="6" t="n"/>
      <c r="C22" s="64" t="inlineStr">
        <is>
          <t>システム管理者</t>
        </is>
      </c>
      <c r="D22" s="5" t="n"/>
      <c r="E22" s="5" t="n"/>
      <c r="F22" s="6" t="n"/>
      <c r="G22" s="64" t="inlineStr">
        <is>
          <t>テナント管理</t>
        </is>
      </c>
      <c r="H22" s="5" t="n"/>
      <c r="I22" s="6" t="n"/>
      <c r="J22" s="64" t="inlineStr">
        <is>
          <t>テナント情報詳細を確認</t>
        </is>
      </c>
      <c r="K22" s="5" t="n"/>
      <c r="L22" s="6" t="n"/>
      <c r="M22" s="64" t="inlineStr">
        <is>
          <t>システム内に少なくとも1件のテナントが存在する</t>
        </is>
      </c>
      <c r="N22" s="5" t="n"/>
      <c r="O22" s="5" t="n"/>
      <c r="P22" s="5" t="n"/>
      <c r="Q22" s="6" t="n"/>
      <c r="R22" s="64" t="inlineStr">
        <is>
          <t>① テナント一覧画面で:
一覧内のテナント行をクリックする</t>
        </is>
      </c>
      <c r="S22" s="5" t="n"/>
      <c r="T22" s="5" t="n"/>
      <c r="U22" s="5" t="n"/>
      <c r="V22" s="5" t="n"/>
      <c r="W22" s="5" t="n"/>
      <c r="X22" s="6" t="n"/>
      <c r="Y22" s="64" t="inlineStr">
        <is>
          <t>テナント情報、契約情報、請求情報、テナント管理者情報を含むテナント詳細画面が表示され、「編集」「削除」ボタンがある。</t>
        </is>
      </c>
      <c r="Z22" s="5" t="n"/>
      <c r="AA22" s="5" t="n"/>
      <c r="AB22" s="5" t="n"/>
      <c r="AC22" s="5" t="n"/>
      <c r="AD22" s="6" t="n"/>
      <c r="AE22" s="65" t="inlineStr">
        <is>
          <t>N</t>
        </is>
      </c>
      <c r="AF22" s="6" t="n"/>
      <c r="AG22" s="65" t="n"/>
      <c r="AH22" s="6" t="n"/>
      <c r="AI22" s="65" t="n"/>
      <c r="AJ22" s="6" t="n"/>
      <c r="AK22" s="65" t="n"/>
      <c r="AL22" s="6" t="n"/>
      <c r="AM22" s="65" t="n"/>
      <c r="AN22" s="5" t="n"/>
      <c r="AO22" s="6" t="n"/>
      <c r="AP22" s="65" t="n"/>
      <c r="AQ22" s="6" t="n"/>
      <c r="AR22" s="64" t="n"/>
      <c r="AS22" s="5" t="n"/>
      <c r="AT22" s="6" t="n"/>
      <c r="AU22" s="65" t="n"/>
      <c r="AV22" s="6" t="n"/>
      <c r="AW22" s="65" t="n"/>
      <c r="AX22" s="6" t="n"/>
      <c r="AY22" s="65" t="n"/>
      <c r="AZ22" s="6" t="n"/>
      <c r="BA22" s="65" t="n"/>
      <c r="BB22" s="5" t="n"/>
      <c r="BC22" s="6" t="n"/>
      <c r="BD22" s="65" t="n"/>
      <c r="BE22" s="6" t="n"/>
      <c r="BF22" s="64" t="n"/>
      <c r="BG22" s="5" t="n"/>
      <c r="BH22" s="6" t="n"/>
      <c r="BI22" s="66" t="n"/>
      <c r="BJ22" s="5" t="n"/>
      <c r="BK22" s="40" t="n"/>
    </row>
    <row r="23" ht="45" customHeight="1">
      <c r="A23" s="59" t="inlineStr">
        <is>
          <t>UAT-WEB-017</t>
        </is>
      </c>
      <c r="B23" s="6" t="n"/>
      <c r="C23" s="60" t="inlineStr">
        <is>
          <t>システム管理者</t>
        </is>
      </c>
      <c r="D23" s="5" t="n"/>
      <c r="E23" s="5" t="n"/>
      <c r="F23" s="6" t="n"/>
      <c r="G23" s="60" t="inlineStr">
        <is>
          <t>テナント管理</t>
        </is>
      </c>
      <c r="H23" s="5" t="n"/>
      <c r="I23" s="6" t="n"/>
      <c r="J23" s="60" t="inlineStr">
        <is>
          <t>一覧表示 ユーザー 内 テナント (ポップアップ ビュー)</t>
        </is>
      </c>
      <c r="K23" s="5" t="n"/>
      <c r="L23" s="6" t="n"/>
      <c r="M23" s="60" t="inlineStr">
        <is>
          <t>テナントに少なくとも1名のユーザーが存在する</t>
        </is>
      </c>
      <c r="N23" s="5" t="n"/>
      <c r="O23" s="5" t="n"/>
      <c r="P23" s="5" t="n"/>
      <c r="Q23" s="6" t="n"/>
      <c r="R23" s="60" t="inlineStr">
        <is>
          <t>① テナント詳細画面を開く
② ユーザー一覧セクションの「ビュー」ボタンをクリックする</t>
        </is>
      </c>
      <c r="S23" s="5" t="n"/>
      <c r="T23" s="5" t="n"/>
      <c r="U23" s="5" t="n"/>
      <c r="V23" s="5" t="n"/>
      <c r="W23" s="5" t="n"/>
      <c r="X23" s="6" t="n"/>
      <c r="Y23" s="60" t="inlineStr">
        <is>
          <t>ポップアップにメールアドレス、氏名、状態、SIP番号を含むユーザー一覧が表示される。</t>
        </is>
      </c>
      <c r="Z23" s="5" t="n"/>
      <c r="AA23" s="5" t="n"/>
      <c r="AB23" s="5" t="n"/>
      <c r="AC23" s="5" t="n"/>
      <c r="AD23" s="6" t="n"/>
      <c r="AE23" s="61" t="inlineStr">
        <is>
          <t>N</t>
        </is>
      </c>
      <c r="AF23" s="6" t="n"/>
      <c r="AG23" s="61" t="n"/>
      <c r="AH23" s="6" t="n"/>
      <c r="AI23" s="61" t="n"/>
      <c r="AJ23" s="6" t="n"/>
      <c r="AK23" s="61" t="n"/>
      <c r="AL23" s="6" t="n"/>
      <c r="AM23" s="61" t="n"/>
      <c r="AN23" s="5" t="n"/>
      <c r="AO23" s="6" t="n"/>
      <c r="AP23" s="61" t="n"/>
      <c r="AQ23" s="6" t="n"/>
      <c r="AR23" s="60" t="n"/>
      <c r="AS23" s="5" t="n"/>
      <c r="AT23" s="6" t="n"/>
      <c r="AU23" s="61" t="n"/>
      <c r="AV23" s="6" t="n"/>
      <c r="AW23" s="61" t="n"/>
      <c r="AX23" s="6" t="n"/>
      <c r="AY23" s="61" t="n"/>
      <c r="AZ23" s="6" t="n"/>
      <c r="BA23" s="61" t="n"/>
      <c r="BB23" s="5" t="n"/>
      <c r="BC23" s="6" t="n"/>
      <c r="BD23" s="61" t="n"/>
      <c r="BE23" s="6" t="n"/>
      <c r="BF23" s="60" t="n"/>
      <c r="BG23" s="5" t="n"/>
      <c r="BH23" s="6" t="n"/>
      <c r="BI23" s="62" t="n"/>
      <c r="BJ23" s="5" t="n"/>
      <c r="BK23" s="40" t="n"/>
    </row>
    <row r="24" ht="135" customHeight="1">
      <c r="A24" s="63" t="inlineStr">
        <is>
          <t>UAT-WEB-018</t>
        </is>
      </c>
      <c r="B24" s="6" t="n"/>
      <c r="C24" s="64" t="inlineStr">
        <is>
          <t>システム管理者</t>
        </is>
      </c>
      <c r="D24" s="5" t="n"/>
      <c r="E24" s="5" t="n"/>
      <c r="F24" s="6" t="n"/>
      <c r="G24" s="64" t="inlineStr">
        <is>
          <t>テナント管理</t>
        </is>
      </c>
      <c r="H24" s="5" t="n"/>
      <c r="I24" s="6" t="n"/>
      <c r="J24" s="64" t="inlineStr">
        <is>
          <t>当月ユーザー数履歴を確認</t>
        </is>
      </c>
      <c r="K24" s="5" t="n"/>
      <c r="L24" s="6" t="n"/>
      <c r="M24" s="64" t="inlineStr">
        <is>
          <t>テナントにユーザー履歴が存在する (当月利用ユーザー数)</t>
        </is>
      </c>
      <c r="N24" s="5" t="n"/>
      <c r="O24" s="5" t="n"/>
      <c r="P24" s="5" t="n"/>
      <c r="Q24" s="6" t="n"/>
      <c r="R24" s="64" t="inlineStr">
        <is>
          <t>① テナント詳細画面を開く
② 「当月利用ユーザー数」項目横の履歴アイコンをクリックする</t>
        </is>
      </c>
      <c r="S24" s="5" t="n"/>
      <c r="T24" s="5" t="n"/>
      <c r="U24" s="5" t="n"/>
      <c r="V24" s="5" t="n"/>
      <c r="W24" s="5" t="n"/>
      <c r="X24" s="6" t="n"/>
      <c r="Y24" s="64" t="inlineStr">
        <is>
          <t>ポップアップに当月の日別ユーザー変更履歴が表示される。
「当月利用ユーザー数」としてカウントされるのは、以下の状態のユーザーのみ。
+ アクティブ待ち
+ 利用中
* 「削除済み」状態のユーザーはカウント対象外。</t>
        </is>
      </c>
      <c r="Z24" s="5" t="n"/>
      <c r="AA24" s="5" t="n"/>
      <c r="AB24" s="5" t="n"/>
      <c r="AC24" s="5" t="n"/>
      <c r="AD24" s="6" t="n"/>
      <c r="AE24" s="65" t="inlineStr">
        <is>
          <t>N</t>
        </is>
      </c>
      <c r="AF24" s="6" t="n"/>
      <c r="AG24" s="65" t="n"/>
      <c r="AH24" s="6" t="n"/>
      <c r="AI24" s="65" t="n"/>
      <c r="AJ24" s="6" t="n"/>
      <c r="AK24" s="65" t="n"/>
      <c r="AL24" s="6" t="n"/>
      <c r="AM24" s="65" t="n"/>
      <c r="AN24" s="5" t="n"/>
      <c r="AO24" s="6" t="n"/>
      <c r="AP24" s="65" t="n"/>
      <c r="AQ24" s="6" t="n"/>
      <c r="AR24" s="64" t="n"/>
      <c r="AS24" s="5" t="n"/>
      <c r="AT24" s="6" t="n"/>
      <c r="AU24" s="65" t="n"/>
      <c r="AV24" s="6" t="n"/>
      <c r="AW24" s="65" t="n"/>
      <c r="AX24" s="6" t="n"/>
      <c r="AY24" s="65" t="n"/>
      <c r="AZ24" s="6" t="n"/>
      <c r="BA24" s="65" t="n"/>
      <c r="BB24" s="5" t="n"/>
      <c r="BC24" s="6" t="n"/>
      <c r="BD24" s="65" t="n"/>
      <c r="BE24" s="6" t="n"/>
      <c r="BF24" s="64" t="n"/>
      <c r="BG24" s="5" t="n"/>
      <c r="BH24" s="6" t="n"/>
      <c r="BI24" s="66" t="n"/>
      <c r="BJ24" s="5" t="n"/>
      <c r="BK24" s="40" t="n"/>
    </row>
    <row r="25" ht="60" customHeight="1">
      <c r="A25" s="59" t="inlineStr">
        <is>
          <t>UAT-WEB-019</t>
        </is>
      </c>
      <c r="B25" s="6" t="n"/>
      <c r="C25" s="60" t="inlineStr">
        <is>
          <t>システム管理者</t>
        </is>
      </c>
      <c r="D25" s="5" t="n"/>
      <c r="E25" s="5" t="n"/>
      <c r="F25" s="6" t="n"/>
      <c r="G25" s="60" t="inlineStr">
        <is>
          <t>テナント管理</t>
        </is>
      </c>
      <c r="H25" s="5" t="n"/>
      <c r="I25" s="6" t="n"/>
      <c r="J25" s="60" t="inlineStr">
        <is>
          <t>テナント契約情報を編集</t>
        </is>
      </c>
      <c r="K25" s="5" t="n"/>
      <c r="L25" s="6" t="n"/>
      <c r="M25" s="60" t="inlineStr">
        <is>
          <t>テナントが「利用中」状態である</t>
        </is>
      </c>
      <c r="N25" s="5" t="n"/>
      <c r="O25" s="5" t="n"/>
      <c r="P25" s="5" t="n"/>
      <c r="Q25" s="6" t="n"/>
      <c r="R25" s="60" t="inlineStr">
        <is>
          <t>① テナント詳細画面を開き、「編集」をクリックする
② 修正する 会社名 内 契約情報
③ 「保存」をクリックする</t>
        </is>
      </c>
      <c r="S25" s="5" t="n"/>
      <c r="T25" s="5" t="n"/>
      <c r="U25" s="5" t="n"/>
      <c r="V25" s="5" t="n"/>
      <c r="W25" s="5" t="n"/>
      <c r="X25" s="6" t="n"/>
      <c r="Y25" s="60" t="inlineStr">
        <is>
          <t>情報が更新される。テナント番号とテナント状態は変更できない。</t>
        </is>
      </c>
      <c r="Z25" s="5" t="n"/>
      <c r="AA25" s="5" t="n"/>
      <c r="AB25" s="5" t="n"/>
      <c r="AC25" s="5" t="n"/>
      <c r="AD25" s="6" t="n"/>
      <c r="AE25" s="61" t="inlineStr">
        <is>
          <t>N</t>
        </is>
      </c>
      <c r="AF25" s="6" t="n"/>
      <c r="AG25" s="61" t="n"/>
      <c r="AH25" s="6" t="n"/>
      <c r="AI25" s="61" t="n"/>
      <c r="AJ25" s="6" t="n"/>
      <c r="AK25" s="61" t="n"/>
      <c r="AL25" s="6" t="n"/>
      <c r="AM25" s="61" t="n"/>
      <c r="AN25" s="5" t="n"/>
      <c r="AO25" s="6" t="n"/>
      <c r="AP25" s="61" t="n"/>
      <c r="AQ25" s="6" t="n"/>
      <c r="AR25" s="60" t="n"/>
      <c r="AS25" s="5" t="n"/>
      <c r="AT25" s="6" t="n"/>
      <c r="AU25" s="61" t="n"/>
      <c r="AV25" s="6" t="n"/>
      <c r="AW25" s="61" t="n"/>
      <c r="AX25" s="6" t="n"/>
      <c r="AY25" s="61" t="n"/>
      <c r="AZ25" s="6" t="n"/>
      <c r="BA25" s="61" t="n"/>
      <c r="BB25" s="5" t="n"/>
      <c r="BC25" s="6" t="n"/>
      <c r="BD25" s="61" t="n"/>
      <c r="BE25" s="6" t="n"/>
      <c r="BF25" s="60" t="n"/>
      <c r="BG25" s="5" t="n"/>
      <c r="BH25" s="6" t="n"/>
      <c r="BI25" s="62" t="n"/>
      <c r="BJ25" s="5" t="n"/>
      <c r="BK25" s="40" t="n"/>
    </row>
    <row r="26" ht="45" customHeight="1">
      <c r="A26" s="63" t="inlineStr">
        <is>
          <t>UAT-WEB-020</t>
        </is>
      </c>
      <c r="B26" s="6" t="n"/>
      <c r="C26" s="64" t="inlineStr">
        <is>
          <t>システム管理者</t>
        </is>
      </c>
      <c r="D26" s="5" t="n"/>
      <c r="E26" s="5" t="n"/>
      <c r="F26" s="6" t="n"/>
      <c r="G26" s="64" t="inlineStr">
        <is>
          <t>テナント管理</t>
        </is>
      </c>
      <c r="H26" s="5" t="n"/>
      <c r="I26" s="6" t="n"/>
      <c r="J26" s="64" t="inlineStr">
        <is>
          <t>テナント編集履歴を確認（テナント編集履歴）</t>
        </is>
      </c>
      <c r="K26" s="5" t="n"/>
      <c r="L26" s="6" t="n"/>
      <c r="M26" s="64" t="inlineStr">
        <is>
          <t>テナントが少なくとも1回編集済み</t>
        </is>
      </c>
      <c r="N26" s="5" t="n"/>
      <c r="O26" s="5" t="n"/>
      <c r="P26" s="5" t="n"/>
      <c r="Q26" s="6" t="n"/>
      <c r="R26" s="64" t="inlineStr">
        <is>
          <t>① テナント詳細画面を開く
② 「編集履歴」ボタンをクリックする</t>
        </is>
      </c>
      <c r="S26" s="5" t="n"/>
      <c r="T26" s="5" t="n"/>
      <c r="U26" s="5" t="n"/>
      <c r="V26" s="5" t="n"/>
      <c r="W26" s="5" t="n"/>
      <c r="X26" s="6" t="n"/>
      <c r="Y26" s="64" t="inlineStr">
        <is>
          <t>ポップアップに履歴テーブル（エリア、項目、編集前内容、編集後内容、編集日、編集者）が表示される。</t>
        </is>
      </c>
      <c r="Z26" s="5" t="n"/>
      <c r="AA26" s="5" t="n"/>
      <c r="AB26" s="5" t="n"/>
      <c r="AC26" s="5" t="n"/>
      <c r="AD26" s="6" t="n"/>
      <c r="AE26" s="65" t="inlineStr">
        <is>
          <t>N</t>
        </is>
      </c>
      <c r="AF26" s="6" t="n"/>
      <c r="AG26" s="65" t="n"/>
      <c r="AH26" s="6" t="n"/>
      <c r="AI26" s="65" t="n"/>
      <c r="AJ26" s="6" t="n"/>
      <c r="AK26" s="65" t="n"/>
      <c r="AL26" s="6" t="n"/>
      <c r="AM26" s="65" t="n"/>
      <c r="AN26" s="5" t="n"/>
      <c r="AO26" s="6" t="n"/>
      <c r="AP26" s="65" t="n"/>
      <c r="AQ26" s="6" t="n"/>
      <c r="AR26" s="64" t="n"/>
      <c r="AS26" s="5" t="n"/>
      <c r="AT26" s="6" t="n"/>
      <c r="AU26" s="65" t="n"/>
      <c r="AV26" s="6" t="n"/>
      <c r="AW26" s="65" t="n"/>
      <c r="AX26" s="6" t="n"/>
      <c r="AY26" s="65" t="n"/>
      <c r="AZ26" s="6" t="n"/>
      <c r="BA26" s="65" t="n"/>
      <c r="BB26" s="5" t="n"/>
      <c r="BC26" s="6" t="n"/>
      <c r="BD26" s="65" t="n"/>
      <c r="BE26" s="6" t="n"/>
      <c r="BF26" s="64" t="n"/>
      <c r="BG26" s="5" t="n"/>
      <c r="BH26" s="6" t="n"/>
      <c r="BI26" s="66" t="n"/>
      <c r="BJ26" s="5" t="n"/>
      <c r="BK26" s="40" t="n"/>
    </row>
    <row r="27" ht="45" customHeight="1">
      <c r="A27" s="59" t="inlineStr">
        <is>
          <t>UAT-WEB-021</t>
        </is>
      </c>
      <c r="B27" s="6" t="n"/>
      <c r="C27" s="60" t="inlineStr">
        <is>
          <t>システム管理者</t>
        </is>
      </c>
      <c r="D27" s="5" t="n"/>
      <c r="E27" s="5" t="n"/>
      <c r="F27" s="6" t="n"/>
      <c r="G27" s="60" t="inlineStr">
        <is>
          <t>テナント管理</t>
        </is>
      </c>
      <c r="H27" s="5" t="n"/>
      <c r="I27" s="6" t="n"/>
      <c r="J27" s="60" t="inlineStr">
        <is>
          <t>「利用中」テナントを停止</t>
        </is>
      </c>
      <c r="K27" s="5" t="n"/>
      <c r="L27" s="6" t="n"/>
      <c r="M27" s="60" t="inlineStr">
        <is>
          <t>テナント状態が「利用中」</t>
        </is>
      </c>
      <c r="N27" s="5" t="n"/>
      <c r="O27" s="5" t="n"/>
      <c r="P27" s="5" t="n"/>
      <c r="Q27" s="6" t="n"/>
      <c r="R27" s="60" t="inlineStr">
        <is>
          <t>① テナント詳細画面を開く
② 「停止する」→ 確認</t>
        </is>
      </c>
      <c r="S27" s="5" t="n"/>
      <c r="T27" s="5" t="n"/>
      <c r="U27" s="5" t="n"/>
      <c r="V27" s="5" t="n"/>
      <c r="W27" s="5" t="n"/>
      <c r="X27" s="6" t="n"/>
      <c r="Y27" s="60" t="inlineStr">
        <is>
          <t>状態が「利用中」→「停止」に変更され、テナント内の全ユーザーはアプリにログインできない。</t>
        </is>
      </c>
      <c r="Z27" s="5" t="n"/>
      <c r="AA27" s="5" t="n"/>
      <c r="AB27" s="5" t="n"/>
      <c r="AC27" s="5" t="n"/>
      <c r="AD27" s="6" t="n"/>
      <c r="AE27" s="61" t="inlineStr">
        <is>
          <t>N</t>
        </is>
      </c>
      <c r="AF27" s="6" t="n"/>
      <c r="AG27" s="61" t="n"/>
      <c r="AH27" s="6" t="n"/>
      <c r="AI27" s="61" t="n"/>
      <c r="AJ27" s="6" t="n"/>
      <c r="AK27" s="61" t="n"/>
      <c r="AL27" s="6" t="n"/>
      <c r="AM27" s="61" t="n"/>
      <c r="AN27" s="5" t="n"/>
      <c r="AO27" s="6" t="n"/>
      <c r="AP27" s="61" t="n"/>
      <c r="AQ27" s="6" t="n"/>
      <c r="AR27" s="60" t="n"/>
      <c r="AS27" s="5" t="n"/>
      <c r="AT27" s="6" t="n"/>
      <c r="AU27" s="61" t="n"/>
      <c r="AV27" s="6" t="n"/>
      <c r="AW27" s="61" t="n"/>
      <c r="AX27" s="6" t="n"/>
      <c r="AY27" s="61" t="n"/>
      <c r="AZ27" s="6" t="n"/>
      <c r="BA27" s="61" t="n"/>
      <c r="BB27" s="5" t="n"/>
      <c r="BC27" s="6" t="n"/>
      <c r="BD27" s="61" t="n"/>
      <c r="BE27" s="6" t="n"/>
      <c r="BF27" s="60" t="n"/>
      <c r="BG27" s="5" t="n"/>
      <c r="BH27" s="6" t="n"/>
      <c r="BI27" s="62" t="n"/>
      <c r="BJ27" s="5" t="n"/>
      <c r="BK27" s="40" t="n"/>
    </row>
    <row r="28" ht="30" customHeight="1">
      <c r="A28" s="63" t="inlineStr">
        <is>
          <t>UAT-WEB-022</t>
        </is>
      </c>
      <c r="B28" s="6" t="n"/>
      <c r="C28" s="64" t="inlineStr">
        <is>
          <t>システム管理者</t>
        </is>
      </c>
      <c r="D28" s="5" t="n"/>
      <c r="E28" s="5" t="n"/>
      <c r="F28" s="6" t="n"/>
      <c r="G28" s="64" t="inlineStr">
        <is>
          <t>テナント管理</t>
        </is>
      </c>
      <c r="H28" s="5" t="n"/>
      <c r="I28" s="6" t="n"/>
      <c r="J28" s="64" t="inlineStr">
        <is>
          <t>テナントが「停止」状態の場合に「停止する」ボタンが非表示であることを確認</t>
        </is>
      </c>
      <c r="K28" s="5" t="n"/>
      <c r="L28" s="6" t="n"/>
      <c r="M28" s="64" t="inlineStr">
        <is>
          <t>テナント状態が「停止」</t>
        </is>
      </c>
      <c r="N28" s="5" t="n"/>
      <c r="O28" s="5" t="n"/>
      <c r="P28" s="5" t="n"/>
      <c r="Q28" s="6" t="n"/>
      <c r="R28" s="64" t="inlineStr">
        <is>
          <t>① 状態が「停止」のテナント詳細画面を開く</t>
        </is>
      </c>
      <c r="S28" s="5" t="n"/>
      <c r="T28" s="5" t="n"/>
      <c r="U28" s="5" t="n"/>
      <c r="V28" s="5" t="n"/>
      <c r="W28" s="5" t="n"/>
      <c r="X28" s="6" t="n"/>
      <c r="Y28" s="64" t="inlineStr">
        <is>
          <t>「停止する」ボタンは表示されず、「有効化する」のみ表示される。</t>
        </is>
      </c>
      <c r="Z28" s="5" t="n"/>
      <c r="AA28" s="5" t="n"/>
      <c r="AB28" s="5" t="n"/>
      <c r="AC28" s="5" t="n"/>
      <c r="AD28" s="6" t="n"/>
      <c r="AE28" s="65" t="inlineStr">
        <is>
          <t>B</t>
        </is>
      </c>
      <c r="AF28" s="6" t="n"/>
      <c r="AG28" s="65" t="n"/>
      <c r="AH28" s="6" t="n"/>
      <c r="AI28" s="65" t="n"/>
      <c r="AJ28" s="6" t="n"/>
      <c r="AK28" s="65" t="n"/>
      <c r="AL28" s="6" t="n"/>
      <c r="AM28" s="65" t="n"/>
      <c r="AN28" s="5" t="n"/>
      <c r="AO28" s="6" t="n"/>
      <c r="AP28" s="65" t="n"/>
      <c r="AQ28" s="6" t="n"/>
      <c r="AR28" s="64" t="n"/>
      <c r="AS28" s="5" t="n"/>
      <c r="AT28" s="6" t="n"/>
      <c r="AU28" s="65" t="n"/>
      <c r="AV28" s="6" t="n"/>
      <c r="AW28" s="65" t="n"/>
      <c r="AX28" s="6" t="n"/>
      <c r="AY28" s="65" t="n"/>
      <c r="AZ28" s="6" t="n"/>
      <c r="BA28" s="65" t="n"/>
      <c r="BB28" s="5" t="n"/>
      <c r="BC28" s="6" t="n"/>
      <c r="BD28" s="65" t="n"/>
      <c r="BE28" s="6" t="n"/>
      <c r="BF28" s="64" t="n"/>
      <c r="BG28" s="5" t="n"/>
      <c r="BH28" s="6" t="n"/>
      <c r="BI28" s="66" t="n"/>
      <c r="BJ28" s="5" t="n"/>
      <c r="BK28" s="40" t="n"/>
    </row>
    <row r="29" ht="45" customHeight="1">
      <c r="A29" s="59" t="inlineStr">
        <is>
          <t>UAT-WEB-023</t>
        </is>
      </c>
      <c r="B29" s="6" t="n"/>
      <c r="C29" s="60" t="inlineStr">
        <is>
          <t>システム管理者</t>
        </is>
      </c>
      <c r="D29" s="5" t="n"/>
      <c r="E29" s="5" t="n"/>
      <c r="F29" s="6" t="n"/>
      <c r="G29" s="60" t="inlineStr">
        <is>
          <t>テナント管理</t>
        </is>
      </c>
      <c r="H29" s="5" t="n"/>
      <c r="I29" s="6" t="n"/>
      <c r="J29" s="60" t="inlineStr">
        <is>
          <t>「停止」状態のテナントを再有効化</t>
        </is>
      </c>
      <c r="K29" s="5" t="n"/>
      <c r="L29" s="6" t="n"/>
      <c r="M29" s="60" t="inlineStr">
        <is>
          <t>テナント状態が「停止」</t>
        </is>
      </c>
      <c r="N29" s="5" t="n"/>
      <c r="O29" s="5" t="n"/>
      <c r="P29" s="5" t="n"/>
      <c r="Q29" s="6" t="n"/>
      <c r="R29" s="60" t="inlineStr">
        <is>
          <t>① テナント詳細画面を開く
② 「有効化する」→ 確認</t>
        </is>
      </c>
      <c r="S29" s="5" t="n"/>
      <c r="T29" s="5" t="n"/>
      <c r="U29" s="5" t="n"/>
      <c r="V29" s="5" t="n"/>
      <c r="W29" s="5" t="n"/>
      <c r="X29" s="6" t="n"/>
      <c r="Y29" s="60" t="inlineStr">
        <is>
          <t>状態が「停止」→「利用中」に変更され、ユーザーは再びアプリにログインできる。</t>
        </is>
      </c>
      <c r="Z29" s="5" t="n"/>
      <c r="AA29" s="5" t="n"/>
      <c r="AB29" s="5" t="n"/>
      <c r="AC29" s="5" t="n"/>
      <c r="AD29" s="6" t="n"/>
      <c r="AE29" s="61" t="inlineStr">
        <is>
          <t>N</t>
        </is>
      </c>
      <c r="AF29" s="6" t="n"/>
      <c r="AG29" s="61" t="n"/>
      <c r="AH29" s="6" t="n"/>
      <c r="AI29" s="61" t="n"/>
      <c r="AJ29" s="6" t="n"/>
      <c r="AK29" s="61" t="n"/>
      <c r="AL29" s="6" t="n"/>
      <c r="AM29" s="61" t="n"/>
      <c r="AN29" s="5" t="n"/>
      <c r="AO29" s="6" t="n"/>
      <c r="AP29" s="61" t="n"/>
      <c r="AQ29" s="6" t="n"/>
      <c r="AR29" s="60" t="n"/>
      <c r="AS29" s="5" t="n"/>
      <c r="AT29" s="6" t="n"/>
      <c r="AU29" s="61" t="n"/>
      <c r="AV29" s="6" t="n"/>
      <c r="AW29" s="61" t="n"/>
      <c r="AX29" s="6" t="n"/>
      <c r="AY29" s="61" t="n"/>
      <c r="AZ29" s="6" t="n"/>
      <c r="BA29" s="61" t="n"/>
      <c r="BB29" s="5" t="n"/>
      <c r="BC29" s="6" t="n"/>
      <c r="BD29" s="61" t="n"/>
      <c r="BE29" s="6" t="n"/>
      <c r="BF29" s="60" t="n"/>
      <c r="BG29" s="5" t="n"/>
      <c r="BH29" s="6" t="n"/>
      <c r="BI29" s="62" t="n"/>
      <c r="BJ29" s="5" t="n"/>
      <c r="BK29" s="40" t="n"/>
    </row>
    <row r="30" ht="60" customHeight="1">
      <c r="A30" s="63" t="inlineStr">
        <is>
          <t>UAT-WEB-024</t>
        </is>
      </c>
      <c r="B30" s="6" t="n"/>
      <c r="C30" s="64" t="inlineStr">
        <is>
          <t>システム管理者</t>
        </is>
      </c>
      <c r="D30" s="5" t="n"/>
      <c r="E30" s="5" t="n"/>
      <c r="F30" s="6" t="n"/>
      <c r="G30" s="64" t="inlineStr">
        <is>
          <t>テナント管理</t>
        </is>
      </c>
      <c r="H30" s="5" t="n"/>
      <c r="I30" s="6" t="n"/>
      <c r="J30" s="64" t="inlineStr">
        <is>
          <t>テナント削除</t>
        </is>
      </c>
      <c r="K30" s="5" t="n"/>
      <c r="L30" s="6" t="n"/>
      <c r="M30" s="64" t="inlineStr">
        <is>
          <t>テナント状態が「登録待ち」/「利用中」/「停止」</t>
        </is>
      </c>
      <c r="N30" s="5" t="n"/>
      <c r="O30" s="5" t="n"/>
      <c r="P30" s="5" t="n"/>
      <c r="Q30" s="6" t="n"/>
      <c r="R30" s="64" t="inlineStr">
        <is>
          <t>① テナント詳細画面を開く
② 「削除」をクリックする→ 確認</t>
        </is>
      </c>
      <c r="S30" s="5" t="n"/>
      <c r="T30" s="5" t="n"/>
      <c r="U30" s="5" t="n"/>
      <c r="V30" s="5" t="n"/>
      <c r="W30" s="5" t="n"/>
      <c r="X30" s="6" t="n"/>
      <c r="Y30" s="64" t="inlineStr">
        <is>
          <t>状態が「契約解除」になり、テナント管理者はウェブ管理画面にログインできず、ユーザーはアプリにログインできない。</t>
        </is>
      </c>
      <c r="Z30" s="5" t="n"/>
      <c r="AA30" s="5" t="n"/>
      <c r="AB30" s="5" t="n"/>
      <c r="AC30" s="5" t="n"/>
      <c r="AD30" s="6" t="n"/>
      <c r="AE30" s="65" t="inlineStr">
        <is>
          <t>N</t>
        </is>
      </c>
      <c r="AF30" s="6" t="n"/>
      <c r="AG30" s="65" t="n"/>
      <c r="AH30" s="6" t="n"/>
      <c r="AI30" s="65" t="n"/>
      <c r="AJ30" s="6" t="n"/>
      <c r="AK30" s="65" t="n"/>
      <c r="AL30" s="6" t="n"/>
      <c r="AM30" s="65" t="n"/>
      <c r="AN30" s="5" t="n"/>
      <c r="AO30" s="6" t="n"/>
      <c r="AP30" s="65" t="n"/>
      <c r="AQ30" s="6" t="n"/>
      <c r="AR30" s="64" t="n"/>
      <c r="AS30" s="5" t="n"/>
      <c r="AT30" s="6" t="n"/>
      <c r="AU30" s="65" t="n"/>
      <c r="AV30" s="6" t="n"/>
      <c r="AW30" s="65" t="n"/>
      <c r="AX30" s="6" t="n"/>
      <c r="AY30" s="65" t="n"/>
      <c r="AZ30" s="6" t="n"/>
      <c r="BA30" s="65" t="n"/>
      <c r="BB30" s="5" t="n"/>
      <c r="BC30" s="6" t="n"/>
      <c r="BD30" s="65" t="n"/>
      <c r="BE30" s="6" t="n"/>
      <c r="BF30" s="64" t="n"/>
      <c r="BG30" s="5" t="n"/>
      <c r="BH30" s="6" t="n"/>
      <c r="BI30" s="66" t="n"/>
      <c r="BJ30" s="5" t="n"/>
      <c r="BK30" s="40" t="n"/>
    </row>
    <row r="31" ht="60" customHeight="1">
      <c r="A31" s="59" t="inlineStr">
        <is>
          <t>UAT-WEB-025</t>
        </is>
      </c>
      <c r="B31" s="6" t="n"/>
      <c r="C31" s="60" t="inlineStr">
        <is>
          <t>システム管理者</t>
        </is>
      </c>
      <c r="D31" s="5" t="n"/>
      <c r="E31" s="5" t="n"/>
      <c r="F31" s="6" t="n"/>
      <c r="G31" s="60" t="inlineStr">
        <is>
          <t>テナント管理</t>
        </is>
      </c>
      <c r="H31" s="5" t="n"/>
      <c r="I31" s="6" t="n"/>
      <c r="J31" s="60" t="inlineStr">
        <is>
          <t>テナント管理者へログイン情報を送信</t>
        </is>
      </c>
      <c r="K31" s="5" t="n"/>
      <c r="L31" s="6" t="n"/>
      <c r="M31" s="60" t="inlineStr">
        <is>
          <t>新規作成テナントで、テナント管理者アカウントへログイン情報をまだ一度も送信していない</t>
        </is>
      </c>
      <c r="N31" s="5" t="n"/>
      <c r="O31" s="5" t="n"/>
      <c r="P31" s="5" t="n"/>
      <c r="Q31" s="6" t="n"/>
      <c r="R31" s="60" t="inlineStr">
        <is>
          <t>① テナントを選択する（チェックボックス）
② 「ログイン情報通知」をクリックする→「OK」をクリックする</t>
        </is>
      </c>
      <c r="S31" s="5" t="n"/>
      <c r="T31" s="5" t="n"/>
      <c r="U31" s="5" t="n"/>
      <c r="V31" s="5" t="n"/>
      <c r="W31" s="5" t="n"/>
      <c r="X31" s="6" t="n"/>
      <c r="Y31" s="60" t="inlineStr">
        <is>
          <t>ログインURLとアカウント情報を含むメールがテナント管理者に送信される。</t>
        </is>
      </c>
      <c r="Z31" s="5" t="n"/>
      <c r="AA31" s="5" t="n"/>
      <c r="AB31" s="5" t="n"/>
      <c r="AC31" s="5" t="n"/>
      <c r="AD31" s="6" t="n"/>
      <c r="AE31" s="61" t="inlineStr">
        <is>
          <t>N</t>
        </is>
      </c>
      <c r="AF31" s="6" t="n"/>
      <c r="AG31" s="61" t="n"/>
      <c r="AH31" s="6" t="n"/>
      <c r="AI31" s="61" t="n"/>
      <c r="AJ31" s="6" t="n"/>
      <c r="AK31" s="61" t="n"/>
      <c r="AL31" s="6" t="n"/>
      <c r="AM31" s="61" t="n"/>
      <c r="AN31" s="5" t="n"/>
      <c r="AO31" s="6" t="n"/>
      <c r="AP31" s="61" t="n"/>
      <c r="AQ31" s="6" t="n"/>
      <c r="AR31" s="60" t="n"/>
      <c r="AS31" s="5" t="n"/>
      <c r="AT31" s="6" t="n"/>
      <c r="AU31" s="61" t="n"/>
      <c r="AV31" s="6" t="n"/>
      <c r="AW31" s="61" t="n"/>
      <c r="AX31" s="6" t="n"/>
      <c r="AY31" s="61" t="n"/>
      <c r="AZ31" s="6" t="n"/>
      <c r="BA31" s="61" t="n"/>
      <c r="BB31" s="5" t="n"/>
      <c r="BC31" s="6" t="n"/>
      <c r="BD31" s="61" t="n"/>
      <c r="BE31" s="6" t="n"/>
      <c r="BF31" s="60" t="n"/>
      <c r="BG31" s="5" t="n"/>
      <c r="BH31" s="6" t="n"/>
      <c r="BI31" s="62" t="n"/>
      <c r="BJ31" s="5" t="n"/>
      <c r="BK31" s="40" t="n"/>
    </row>
    <row r="32" ht="105" customHeight="1">
      <c r="A32" s="63" t="inlineStr">
        <is>
          <t>UAT-WEB-026</t>
        </is>
      </c>
      <c r="B32" s="6" t="n"/>
      <c r="C32" s="64" t="inlineStr">
        <is>
          <t>システム管理者</t>
        </is>
      </c>
      <c r="D32" s="5" t="n"/>
      <c r="E32" s="5" t="n"/>
      <c r="F32" s="6" t="n"/>
      <c r="G32" s="64" t="inlineStr">
        <is>
          <t>テナント管理</t>
        </is>
      </c>
      <c r="H32" s="5" t="n"/>
      <c r="I32" s="6" t="n"/>
      <c r="J32" s="64" t="inlineStr">
        <is>
          <t>すでにメール受信済みのテナント管理者には再送信しない</t>
        </is>
      </c>
      <c r="K32" s="5" t="n"/>
      <c r="L32" s="6" t="n"/>
      <c r="M32" s="64" t="inlineStr">
        <is>
          <t>テナント管理者がログインメールを1回受信済み</t>
        </is>
      </c>
      <c r="N32" s="5" t="n"/>
      <c r="O32" s="5" t="n"/>
      <c r="P32" s="5" t="n"/>
      <c r="Q32" s="6" t="n"/>
      <c r="R32" s="64" t="inlineStr">
        <is>
          <t>① 対象テナントのチェックボックスを選択する
② 「ログイン情報通知」をクリックする
③ 「メール送信の確認」ポップアップで「OK」ボタンをクリックする
④ 「ログイン情報送信確認」ポップアップで「キャンセル」ボタンをクリックする</t>
        </is>
      </c>
      <c r="S32" s="5" t="n"/>
      <c r="T32" s="5" t="n"/>
      <c r="U32" s="5" t="n"/>
      <c r="V32" s="5" t="n"/>
      <c r="W32" s="5" t="n"/>
      <c r="X32" s="6" t="n"/>
      <c r="Y32" s="64" t="inlineStr">
        <is>
          <t>以前にログインメールを受信済みのテナント管理者は送信対象外となり、メールは再送信されない。</t>
        </is>
      </c>
      <c r="Z32" s="5" t="n"/>
      <c r="AA32" s="5" t="n"/>
      <c r="AB32" s="5" t="n"/>
      <c r="AC32" s="5" t="n"/>
      <c r="AD32" s="6" t="n"/>
      <c r="AE32" s="65" t="inlineStr">
        <is>
          <t>N</t>
        </is>
      </c>
      <c r="AF32" s="6" t="n"/>
      <c r="AG32" s="65" t="n"/>
      <c r="AH32" s="6" t="n"/>
      <c r="AI32" s="65" t="n"/>
      <c r="AJ32" s="6" t="n"/>
      <c r="AK32" s="65" t="n"/>
      <c r="AL32" s="6" t="n"/>
      <c r="AM32" s="65" t="n"/>
      <c r="AN32" s="5" t="n"/>
      <c r="AO32" s="6" t="n"/>
      <c r="AP32" s="65" t="n"/>
      <c r="AQ32" s="6" t="n"/>
      <c r="AR32" s="64" t="n"/>
      <c r="AS32" s="5" t="n"/>
      <c r="AT32" s="6" t="n"/>
      <c r="AU32" s="65" t="n"/>
      <c r="AV32" s="6" t="n"/>
      <c r="AW32" s="65" t="n"/>
      <c r="AX32" s="6" t="n"/>
      <c r="AY32" s="65" t="n"/>
      <c r="AZ32" s="6" t="n"/>
      <c r="BA32" s="65" t="n"/>
      <c r="BB32" s="5" t="n"/>
      <c r="BC32" s="6" t="n"/>
      <c r="BD32" s="65" t="n"/>
      <c r="BE32" s="6" t="n"/>
      <c r="BF32" s="64" t="n"/>
      <c r="BG32" s="5" t="n"/>
      <c r="BH32" s="6" t="n"/>
      <c r="BI32" s="66" t="n"/>
      <c r="BJ32" s="5" t="n"/>
      <c r="BK32" s="40" t="n"/>
    </row>
    <row r="33" ht="60" customHeight="1">
      <c r="A33" s="59" t="inlineStr">
        <is>
          <t>UAT-WEB-027</t>
        </is>
      </c>
      <c r="B33" s="6" t="n"/>
      <c r="C33" s="60" t="inlineStr">
        <is>
          <t>システム管理者</t>
        </is>
      </c>
      <c r="D33" s="5" t="n"/>
      <c r="E33" s="5" t="n"/>
      <c r="F33" s="6" t="n"/>
      <c r="G33" s="60" t="inlineStr">
        <is>
          <t>テナント管理</t>
        </is>
      </c>
      <c r="H33" s="5" t="n"/>
      <c r="I33" s="6" t="n"/>
      <c r="J33" s="60" t="inlineStr">
        <is>
          <t>テナント一覧をCSV出力</t>
        </is>
      </c>
      <c r="K33" s="5" t="n"/>
      <c r="L33" s="6" t="n"/>
      <c r="M33" s="60" t="inlineStr">
        <is>
          <t>システム内に少なくとも2件のテナントが存在する</t>
        </is>
      </c>
      <c r="N33" s="5" t="n"/>
      <c r="O33" s="5" t="n"/>
      <c r="P33" s="5" t="n"/>
      <c r="Q33" s="6" t="n"/>
      <c r="R33" s="60" t="inlineStr">
        <is>
          <t>① 複数のテナントを選択する（チェックボックス）
② 「CSV出力」をクリックする</t>
        </is>
      </c>
      <c r="S33" s="5" t="n"/>
      <c r="T33" s="5" t="n"/>
      <c r="U33" s="5" t="n"/>
      <c r="V33" s="5" t="n"/>
      <c r="W33" s="5" t="n"/>
      <c r="X33" s="6" t="n"/>
      <c r="Y33" s="60" t="inlineStr">
        <is>
          <t>tenantyyyyMMdd_hhmmss.csvという名前でCSVファイルがダウンロードされ、テナント情報、契約情報、請求情報をすべて含む。</t>
        </is>
      </c>
      <c r="Z33" s="5" t="n"/>
      <c r="AA33" s="5" t="n"/>
      <c r="AB33" s="5" t="n"/>
      <c r="AC33" s="5" t="n"/>
      <c r="AD33" s="6" t="n"/>
      <c r="AE33" s="61" t="inlineStr">
        <is>
          <t>N</t>
        </is>
      </c>
      <c r="AF33" s="6" t="n"/>
      <c r="AG33" s="61" t="n"/>
      <c r="AH33" s="6" t="n"/>
      <c r="AI33" s="61" t="n"/>
      <c r="AJ33" s="6" t="n"/>
      <c r="AK33" s="61" t="n"/>
      <c r="AL33" s="6" t="n"/>
      <c r="AM33" s="61" t="n"/>
      <c r="AN33" s="5" t="n"/>
      <c r="AO33" s="6" t="n"/>
      <c r="AP33" s="61" t="n"/>
      <c r="AQ33" s="6" t="n"/>
      <c r="AR33" s="60" t="n"/>
      <c r="AS33" s="5" t="n"/>
      <c r="AT33" s="6" t="n"/>
      <c r="AU33" s="61" t="n"/>
      <c r="AV33" s="6" t="n"/>
      <c r="AW33" s="61" t="n"/>
      <c r="AX33" s="6" t="n"/>
      <c r="AY33" s="61" t="n"/>
      <c r="AZ33" s="6" t="n"/>
      <c r="BA33" s="61" t="n"/>
      <c r="BB33" s="5" t="n"/>
      <c r="BC33" s="6" t="n"/>
      <c r="BD33" s="61" t="n"/>
      <c r="BE33" s="6" t="n"/>
      <c r="BF33" s="60" t="n"/>
      <c r="BG33" s="5" t="n"/>
      <c r="BH33" s="6" t="n"/>
      <c r="BI33" s="62" t="n"/>
      <c r="BJ33" s="5" t="n"/>
      <c r="BK33" s="40" t="n"/>
    </row>
    <row r="34" ht="45" customHeight="1">
      <c r="A34" s="63" t="inlineStr">
        <is>
          <t>UAT-WEB-028</t>
        </is>
      </c>
      <c r="B34" s="6" t="n"/>
      <c r="C34" s="64" t="inlineStr">
        <is>
          <t>システム管理者</t>
        </is>
      </c>
      <c r="D34" s="5" t="n"/>
      <c r="E34" s="5" t="n"/>
      <c r="F34" s="6" t="n"/>
      <c r="G34" s="64" t="inlineStr">
        <is>
          <t>テナント管理</t>
        </is>
      </c>
      <c r="H34" s="5" t="n"/>
      <c r="I34" s="6" t="n"/>
      <c r="J34" s="64" t="inlineStr">
        <is>
          <t>ユーザー状態同期の手動バッチを起動</t>
        </is>
      </c>
      <c r="K34" s="5" t="n"/>
      <c r="L34" s="6" t="n"/>
      <c r="M34" s="64" t="inlineStr">
        <is>
          <t>MVE上にSIPアカウントが存在する「登録待ち」状態のユーザーがいる</t>
        </is>
      </c>
      <c r="N34" s="5" t="n"/>
      <c r="O34" s="5" t="n"/>
      <c r="P34" s="5" t="n"/>
      <c r="Q34" s="6" t="n"/>
      <c r="R34" s="64" t="inlineStr">
        <is>
          <t>① テナント一覧画面で「手動起動」をクリックする
② ポップアップを確認する</t>
        </is>
      </c>
      <c r="S34" s="5" t="n"/>
      <c r="T34" s="5" t="n"/>
      <c r="U34" s="5" t="n"/>
      <c r="V34" s="5" t="n"/>
      <c r="W34" s="5" t="n"/>
      <c r="X34" s="6" t="n"/>
      <c r="Y34" s="64" t="inlineStr">
        <is>
          <t>MVE上にSIPがあるユーザーは状態が「登録済み」に更新され、結果通知メールがテナント管理者へ送信される。</t>
        </is>
      </c>
      <c r="Z34" s="5" t="n"/>
      <c r="AA34" s="5" t="n"/>
      <c r="AB34" s="5" t="n"/>
      <c r="AC34" s="5" t="n"/>
      <c r="AD34" s="6" t="n"/>
      <c r="AE34" s="65" t="inlineStr">
        <is>
          <t>B</t>
        </is>
      </c>
      <c r="AF34" s="6" t="n"/>
      <c r="AG34" s="65" t="n"/>
      <c r="AH34" s="6" t="n"/>
      <c r="AI34" s="65" t="n"/>
      <c r="AJ34" s="6" t="n"/>
      <c r="AK34" s="65" t="n"/>
      <c r="AL34" s="6" t="n"/>
      <c r="AM34" s="65" t="n"/>
      <c r="AN34" s="5" t="n"/>
      <c r="AO34" s="6" t="n"/>
      <c r="AP34" s="65" t="n"/>
      <c r="AQ34" s="6" t="n"/>
      <c r="AR34" s="64" t="n"/>
      <c r="AS34" s="5" t="n"/>
      <c r="AT34" s="6" t="n"/>
      <c r="AU34" s="65" t="n"/>
      <c r="AV34" s="6" t="n"/>
      <c r="AW34" s="65" t="n"/>
      <c r="AX34" s="6" t="n"/>
      <c r="AY34" s="65" t="n"/>
      <c r="AZ34" s="6" t="n"/>
      <c r="BA34" s="65" t="n"/>
      <c r="BB34" s="5" t="n"/>
      <c r="BC34" s="6" t="n"/>
      <c r="BD34" s="65" t="n"/>
      <c r="BE34" s="6" t="n"/>
      <c r="BF34" s="64" t="n"/>
      <c r="BG34" s="5" t="n"/>
      <c r="BH34" s="6" t="n"/>
      <c r="BI34" s="66" t="n"/>
      <c r="BJ34" s="5" t="n"/>
      <c r="BK34" s="40" t="n"/>
    </row>
    <row r="35" ht="90" customHeight="1">
      <c r="A35" s="59" t="inlineStr">
        <is>
          <t>UAT-WEB-029</t>
        </is>
      </c>
      <c r="B35" s="6" t="n"/>
      <c r="C35" s="60" t="inlineStr">
        <is>
          <t>システム管理者</t>
        </is>
      </c>
      <c r="D35" s="5" t="n"/>
      <c r="E35" s="5" t="n"/>
      <c r="F35" s="6" t="n"/>
      <c r="G35" s="60" t="inlineStr">
        <is>
          <t>テナント管理</t>
        </is>
      </c>
      <c r="H35" s="5" t="n"/>
      <c r="I35" s="6" t="n"/>
      <c r="J35" s="60" t="inlineStr">
        <is>
          <t>「削除済み」ユーザーを自動バッチで確認</t>
        </is>
      </c>
      <c r="K35" s="5" t="n"/>
      <c r="L35" s="6" t="n"/>
      <c r="M35" s="60" t="inlineStr">
        <is>
          <t>「削除済み」状態のユーザーがいて、SIPアカウントはMVEから削除済み</t>
        </is>
      </c>
      <c r="N35" s="5" t="n"/>
      <c r="O35" s="5" t="n"/>
      <c r="P35" s="5" t="n"/>
      <c r="Q35" s="6" t="n"/>
      <c r="R35" s="60" t="inlineStr">
        <is>
          <t>00:00の自動バッチ実行を待つ、または手動で起動する。</t>
        </is>
      </c>
      <c r="S35" s="5" t="n"/>
      <c r="T35" s="5" t="n"/>
      <c r="U35" s="5" t="n"/>
      <c r="V35" s="5" t="n"/>
      <c r="W35" s="5" t="n"/>
      <c r="X35" s="6" t="n"/>
      <c r="Y35" s="60" t="inlineStr">
        <is>
          <t>「削除済み」ユーザーのSIPがMVE上に存在しない場合、SIP情報はデータベースから削除される。
ユーザー一覧画面で確認すると、削除済みユーザーにSIP番号が紐づかなくなる。</t>
        </is>
      </c>
      <c r="Z35" s="5" t="n"/>
      <c r="AA35" s="5" t="n"/>
      <c r="AB35" s="5" t="n"/>
      <c r="AC35" s="5" t="n"/>
      <c r="AD35" s="6" t="n"/>
      <c r="AE35" s="61" t="inlineStr">
        <is>
          <t>B</t>
        </is>
      </c>
      <c r="AF35" s="6" t="n"/>
      <c r="AG35" s="61" t="n"/>
      <c r="AH35" s="6" t="n"/>
      <c r="AI35" s="61" t="n"/>
      <c r="AJ35" s="6" t="n"/>
      <c r="AK35" s="61" t="n"/>
      <c r="AL35" s="6" t="n"/>
      <c r="AM35" s="61" t="n"/>
      <c r="AN35" s="5" t="n"/>
      <c r="AO35" s="6" t="n"/>
      <c r="AP35" s="61" t="n"/>
      <c r="AQ35" s="6" t="n"/>
      <c r="AR35" s="60" t="n"/>
      <c r="AS35" s="5" t="n"/>
      <c r="AT35" s="6" t="n"/>
      <c r="AU35" s="61" t="n"/>
      <c r="AV35" s="6" t="n"/>
      <c r="AW35" s="61" t="n"/>
      <c r="AX35" s="6" t="n"/>
      <c r="AY35" s="61" t="n"/>
      <c r="AZ35" s="6" t="n"/>
      <c r="BA35" s="61" t="n"/>
      <c r="BB35" s="5" t="n"/>
      <c r="BC35" s="6" t="n"/>
      <c r="BD35" s="61" t="n"/>
      <c r="BE35" s="6" t="n"/>
      <c r="BF35" s="60" t="n"/>
      <c r="BG35" s="5" t="n"/>
      <c r="BH35" s="6" t="n"/>
      <c r="BI35" s="62" t="n"/>
      <c r="BJ35" s="5" t="n"/>
      <c r="BK35" s="40" t="n"/>
    </row>
    <row r="36" ht="30" customHeight="1">
      <c r="A36" s="63" t="inlineStr">
        <is>
          <t>UAT-WEB-030</t>
        </is>
      </c>
      <c r="B36" s="6" t="n"/>
      <c r="C36" s="64" t="inlineStr">
        <is>
          <t>システム管理者</t>
        </is>
      </c>
      <c r="D36" s="5" t="n"/>
      <c r="E36" s="5" t="n"/>
      <c r="F36" s="6" t="n"/>
      <c r="G36" s="64" t="inlineStr">
        <is>
          <t>テナント管理</t>
        </is>
      </c>
      <c r="H36" s="5" t="n"/>
      <c r="I36" s="6" t="n"/>
      <c r="J36" s="64" t="inlineStr">
        <is>
          <t>ユーザーインポートCSVテンプレートをダウンロード</t>
        </is>
      </c>
      <c r="K36" s="5" t="n"/>
      <c r="L36" s="6" t="n"/>
      <c r="M36" s="64" t="inlineStr">
        <is>
          <t>システム管理者でログイン</t>
        </is>
      </c>
      <c r="N36" s="5" t="n"/>
      <c r="O36" s="5" t="n"/>
      <c r="P36" s="5" t="n"/>
      <c r="Q36" s="6" t="n"/>
      <c r="R36" s="64" t="inlineStr">
        <is>
          <t>① テナント一覧画面で「CSVテンプレートダウンロード」をクリックする</t>
        </is>
      </c>
      <c r="S36" s="5" t="n"/>
      <c r="T36" s="5" t="n"/>
      <c r="U36" s="5" t="n"/>
      <c r="V36" s="5" t="n"/>
      <c r="W36" s="5" t="n"/>
      <c r="X36" s="6" t="n"/>
      <c r="Y36" s="64" t="inlineStr">
        <is>
          <t>正しい形式のヘッダーを持つユーザー.csvがダウンロードされる。</t>
        </is>
      </c>
      <c r="Z36" s="5" t="n"/>
      <c r="AA36" s="5" t="n"/>
      <c r="AB36" s="5" t="n"/>
      <c r="AC36" s="5" t="n"/>
      <c r="AD36" s="6" t="n"/>
      <c r="AE36" s="65" t="inlineStr">
        <is>
          <t>N</t>
        </is>
      </c>
      <c r="AF36" s="6" t="n"/>
      <c r="AG36" s="65" t="n"/>
      <c r="AH36" s="6" t="n"/>
      <c r="AI36" s="65" t="n"/>
      <c r="AJ36" s="6" t="n"/>
      <c r="AK36" s="65" t="n"/>
      <c r="AL36" s="6" t="n"/>
      <c r="AM36" s="65" t="n"/>
      <c r="AN36" s="5" t="n"/>
      <c r="AO36" s="6" t="n"/>
      <c r="AP36" s="65" t="n"/>
      <c r="AQ36" s="6" t="n"/>
      <c r="AR36" s="64" t="n"/>
      <c r="AS36" s="5" t="n"/>
      <c r="AT36" s="6" t="n"/>
      <c r="AU36" s="65" t="n"/>
      <c r="AV36" s="6" t="n"/>
      <c r="AW36" s="65" t="n"/>
      <c r="AX36" s="6" t="n"/>
      <c r="AY36" s="65" t="n"/>
      <c r="AZ36" s="6" t="n"/>
      <c r="BA36" s="65" t="n"/>
      <c r="BB36" s="5" t="n"/>
      <c r="BC36" s="6" t="n"/>
      <c r="BD36" s="65" t="n"/>
      <c r="BE36" s="6" t="n"/>
      <c r="BF36" s="64" t="n"/>
      <c r="BG36" s="5" t="n"/>
      <c r="BH36" s="6" t="n"/>
      <c r="BI36" s="66" t="n"/>
      <c r="BJ36" s="5" t="n"/>
      <c r="BK36" s="40" t="n"/>
    </row>
    <row r="37" ht="180" customHeight="1">
      <c r="A37" s="59" t="inlineStr">
        <is>
          <t>UAT-WEB-031</t>
        </is>
      </c>
      <c r="B37" s="6" t="n"/>
      <c r="C37" s="60" t="inlineStr">
        <is>
          <t>システム管理者</t>
        </is>
      </c>
      <c r="D37" s="5" t="n"/>
      <c r="E37" s="5" t="n"/>
      <c r="F37" s="6" t="n"/>
      <c r="G37" s="60" t="inlineStr">
        <is>
          <t>ユーザーインポート</t>
        </is>
      </c>
      <c r="H37" s="5" t="n"/>
      <c r="I37" s="6" t="n"/>
      <c r="J37" s="60" t="inlineStr">
        <is>
          <t>システム管理者ロールでインポートユーザー画面への遷移を確認</t>
        </is>
      </c>
      <c r="K37" s="5" t="n"/>
      <c r="L37" s="6" t="n"/>
      <c r="M37" s="60" t="inlineStr">
        <is>
          <t>システム管理者でログイン</t>
        </is>
      </c>
      <c r="N37" s="5" t="n"/>
      <c r="O37" s="5" t="n"/>
      <c r="P37" s="5" t="n"/>
      <c r="Q37" s="6" t="n"/>
      <c r="R37" s="60" t="inlineStr">
        <is>
          <t>① 「テナント作成」をクリックする
② 「固定電話利用する」にチェックを入れる
③ テナント番号を111–154の範囲で入力する
④ テナント名、会社ロゴを入力する
⑤ 契約情報、請求情報を入力する
⑥ 少なくとも1名のテナント管理者を入力する
⑦ 「保存」→「OK」をクリックする
⑧ 「ユーザー一括アップロード確認」ポップアップで「はい」をクリックする</t>
        </is>
      </c>
      <c r="S37" s="5" t="n"/>
      <c r="T37" s="5" t="n"/>
      <c r="U37" s="5" t="n"/>
      <c r="V37" s="5" t="n"/>
      <c r="W37" s="5" t="n"/>
      <c r="X37" s="6" t="n"/>
      <c r="Y37" s="60" t="inlineStr">
        <is>
          <t>「ユーザー一括アップロード」画面が表示される。</t>
        </is>
      </c>
      <c r="Z37" s="5" t="n"/>
      <c r="AA37" s="5" t="n"/>
      <c r="AB37" s="5" t="n"/>
      <c r="AC37" s="5" t="n"/>
      <c r="AD37" s="6" t="n"/>
      <c r="AE37" s="61" t="inlineStr">
        <is>
          <t>B</t>
        </is>
      </c>
      <c r="AF37" s="6" t="n"/>
      <c r="AG37" s="61" t="n"/>
      <c r="AH37" s="6" t="n"/>
      <c r="AI37" s="61" t="n"/>
      <c r="AJ37" s="6" t="n"/>
      <c r="AK37" s="61" t="n"/>
      <c r="AL37" s="6" t="n"/>
      <c r="AM37" s="61" t="n"/>
      <c r="AN37" s="5" t="n"/>
      <c r="AO37" s="6" t="n"/>
      <c r="AP37" s="61" t="n"/>
      <c r="AQ37" s="6" t="n"/>
      <c r="AR37" s="60" t="n"/>
      <c r="AS37" s="5" t="n"/>
      <c r="AT37" s="6" t="n"/>
      <c r="AU37" s="61" t="n"/>
      <c r="AV37" s="6" t="n"/>
      <c r="AW37" s="61" t="n"/>
      <c r="AX37" s="6" t="n"/>
      <c r="AY37" s="61" t="n"/>
      <c r="AZ37" s="6" t="n"/>
      <c r="BA37" s="61" t="n"/>
      <c r="BB37" s="5" t="n"/>
      <c r="BC37" s="6" t="n"/>
      <c r="BD37" s="61" t="n"/>
      <c r="BE37" s="6" t="n"/>
      <c r="BF37" s="60" t="n"/>
      <c r="BG37" s="5" t="n"/>
      <c r="BH37" s="6" t="n"/>
      <c r="BI37" s="62" t="n"/>
      <c r="BJ37" s="5" t="n"/>
      <c r="BK37" s="40" t="n"/>
    </row>
    <row r="38" ht="60" customHeight="1">
      <c r="A38" s="63" t="inlineStr">
        <is>
          <t>UAT-WEB-032</t>
        </is>
      </c>
      <c r="B38" s="6" t="n"/>
      <c r="C38" s="64" t="inlineStr">
        <is>
          <t>システム管理者</t>
        </is>
      </c>
      <c r="D38" s="5" t="n"/>
      <c r="E38" s="5" t="n"/>
      <c r="F38" s="6" t="n"/>
      <c r="G38" s="64" t="inlineStr">
        <is>
          <t>ユーザーインポート</t>
        </is>
      </c>
      <c r="H38" s="5" t="n"/>
      <c r="I38" s="6" t="n"/>
      <c r="J38" s="64" t="inlineStr">
        <is>
          <t>システム管理者ロールでインポートユーザー画面への遷移を確認</t>
        </is>
      </c>
      <c r="K38" s="5" t="n"/>
      <c r="L38" s="6" t="n"/>
      <c r="M38" s="64" t="inlineStr">
        <is>
          <t>システム管理者でログイン</t>
        </is>
      </c>
      <c r="N38" s="5" t="n"/>
      <c r="O38" s="5" t="n"/>
      <c r="P38" s="5" t="n"/>
      <c r="Q38" s="6" t="n"/>
      <c r="R38" s="64" t="inlineStr">
        <is>
          <t>① テナント一覧画面で:
一覧内のテナント行をクリックする
② 「ユーザー一括アップロード」をクリックする</t>
        </is>
      </c>
      <c r="S38" s="5" t="n"/>
      <c r="T38" s="5" t="n"/>
      <c r="U38" s="5" t="n"/>
      <c r="V38" s="5" t="n"/>
      <c r="W38" s="5" t="n"/>
      <c r="X38" s="6" t="n"/>
      <c r="Y38" s="64" t="inlineStr">
        <is>
          <t>「ユーザー一括アップロード」画面が表示される。</t>
        </is>
      </c>
      <c r="Z38" s="5" t="n"/>
      <c r="AA38" s="5" t="n"/>
      <c r="AB38" s="5" t="n"/>
      <c r="AC38" s="5" t="n"/>
      <c r="AD38" s="6" t="n"/>
      <c r="AE38" s="65" t="inlineStr">
        <is>
          <t>B</t>
        </is>
      </c>
      <c r="AF38" s="6" t="n"/>
      <c r="AG38" s="65" t="n"/>
      <c r="AH38" s="6" t="n"/>
      <c r="AI38" s="65" t="n"/>
      <c r="AJ38" s="6" t="n"/>
      <c r="AK38" s="65" t="n"/>
      <c r="AL38" s="6" t="n"/>
      <c r="AM38" s="65" t="n"/>
      <c r="AN38" s="5" t="n"/>
      <c r="AO38" s="6" t="n"/>
      <c r="AP38" s="65" t="n"/>
      <c r="AQ38" s="6" t="n"/>
      <c r="AR38" s="64" t="n"/>
      <c r="AS38" s="5" t="n"/>
      <c r="AT38" s="6" t="n"/>
      <c r="AU38" s="65" t="n"/>
      <c r="AV38" s="6" t="n"/>
      <c r="AW38" s="65" t="n"/>
      <c r="AX38" s="6" t="n"/>
      <c r="AY38" s="65" t="n"/>
      <c r="AZ38" s="6" t="n"/>
      <c r="BA38" s="65" t="n"/>
      <c r="BB38" s="5" t="n"/>
      <c r="BC38" s="6" t="n"/>
      <c r="BD38" s="65" t="n"/>
      <c r="BE38" s="6" t="n"/>
      <c r="BF38" s="64" t="n"/>
      <c r="BG38" s="5" t="n"/>
      <c r="BH38" s="6" t="n"/>
      <c r="BI38" s="66" t="n"/>
      <c r="BJ38" s="5" t="n"/>
      <c r="BK38" s="40" t="n"/>
    </row>
    <row r="39" ht="75" customHeight="1">
      <c r="A39" s="59" t="inlineStr">
        <is>
          <t>UAT-WEB-033</t>
        </is>
      </c>
      <c r="B39" s="6" t="n"/>
      <c r="C39" s="60" t="inlineStr">
        <is>
          <t>システム管理者</t>
        </is>
      </c>
      <c r="D39" s="5" t="n"/>
      <c r="E39" s="5" t="n"/>
      <c r="F39" s="6" t="n"/>
      <c r="G39" s="60" t="inlineStr">
        <is>
          <t>ユーザーインポート</t>
        </is>
      </c>
      <c r="H39" s="5" t="n"/>
      <c r="I39" s="6" t="n"/>
      <c r="J39" s="60" t="inlineStr">
        <is>
          <t>有効なCSVアップロード — すべてのユーザー作成成功</t>
        </is>
      </c>
      <c r="K39" s="5" t="n"/>
      <c r="L39" s="6" t="n"/>
      <c r="M39" s="60" t="inlineStr">
        <is>
          <t>システム管理者でログイン済み。テナント作成済み。テンプレートが正しく、データが有効なCSVファイルがある。</t>
        </is>
      </c>
      <c r="N39" s="5" t="n"/>
      <c r="O39" s="5" t="n"/>
      <c r="P39" s="5" t="n"/>
      <c r="Q39" s="6" t="n"/>
      <c r="R39" s="60" t="inlineStr">
        <is>
          <t>① 「ユーザー一括アップロード」をクリックする画面を開く
② 「ファイルを選択」をクリックし、 有効なCSVファイル
③ 「一括アップロード」をクリックする</t>
        </is>
      </c>
      <c r="S39" s="5" t="n"/>
      <c r="T39" s="5" t="n"/>
      <c r="U39" s="5" t="n"/>
      <c r="V39" s="5" t="n"/>
      <c r="W39" s="5" t="n"/>
      <c r="X39" s="6" t="n"/>
      <c r="Y39" s="60" t="inlineStr">
        <is>
          <t>成功メッセージが表示され、すべてのユーザーが「登録待ち」状態で作成される。ユーザー情報はまだMVEへ同期されていない。</t>
        </is>
      </c>
      <c r="Z39" s="5" t="n"/>
      <c r="AA39" s="5" t="n"/>
      <c r="AB39" s="5" t="n"/>
      <c r="AC39" s="5" t="n"/>
      <c r="AD39" s="6" t="n"/>
      <c r="AE39" s="61" t="inlineStr">
        <is>
          <t>N</t>
        </is>
      </c>
      <c r="AF39" s="6" t="n"/>
      <c r="AG39" s="61" t="n"/>
      <c r="AH39" s="6" t="n"/>
      <c r="AI39" s="61" t="n"/>
      <c r="AJ39" s="6" t="n"/>
      <c r="AK39" s="61" t="n"/>
      <c r="AL39" s="6" t="n"/>
      <c r="AM39" s="61" t="n"/>
      <c r="AN39" s="5" t="n"/>
      <c r="AO39" s="6" t="n"/>
      <c r="AP39" s="61" t="n"/>
      <c r="AQ39" s="6" t="n"/>
      <c r="AR39" s="60" t="n"/>
      <c r="AS39" s="5" t="n"/>
      <c r="AT39" s="6" t="n"/>
      <c r="AU39" s="61" t="n"/>
      <c r="AV39" s="6" t="n"/>
      <c r="AW39" s="61" t="n"/>
      <c r="AX39" s="6" t="n"/>
      <c r="AY39" s="61" t="n"/>
      <c r="AZ39" s="6" t="n"/>
      <c r="BA39" s="61" t="n"/>
      <c r="BB39" s="5" t="n"/>
      <c r="BC39" s="6" t="n"/>
      <c r="BD39" s="61" t="n"/>
      <c r="BE39" s="6" t="n"/>
      <c r="BF39" s="60" t="n"/>
      <c r="BG39" s="5" t="n"/>
      <c r="BH39" s="6" t="n"/>
      <c r="BI39" s="62" t="n"/>
      <c r="BJ39" s="5" t="n"/>
      <c r="BK39" s="40" t="n"/>
    </row>
    <row r="40" ht="60" customHeight="1">
      <c r="A40" s="63" t="inlineStr">
        <is>
          <t>UAT-WEB-034</t>
        </is>
      </c>
      <c r="B40" s="6" t="n"/>
      <c r="C40" s="64" t="inlineStr">
        <is>
          <t>システム管理者</t>
        </is>
      </c>
      <c r="D40" s="5" t="n"/>
      <c r="E40" s="5" t="n"/>
      <c r="F40" s="6" t="n"/>
      <c r="G40" s="64" t="inlineStr">
        <is>
          <t>ユーザーインポート</t>
        </is>
      </c>
      <c r="H40" s="5" t="n"/>
      <c r="I40" s="6" t="n"/>
      <c r="J40" s="64" t="inlineStr">
        <is>
          <t>アップロード失敗 — ファイルがCSVではない</t>
        </is>
      </c>
      <c r="K40" s="5" t="n"/>
      <c r="L40" s="6" t="n"/>
      <c r="M40" s="64" t="inlineStr">
        <is>
          <t>システム管理者でログイン</t>
        </is>
      </c>
      <c r="N40" s="5" t="n"/>
      <c r="O40" s="5" t="n"/>
      <c r="P40" s="5" t="n"/>
      <c r="Q40" s="6" t="n"/>
      <c r="R40" s="64" t="inlineStr">
        <is>
          <t>① .csvではなく.xlsxまたは.txtファイルを選択する
② 「一括アップロード」をクリックする</t>
        </is>
      </c>
      <c r="S40" s="5" t="n"/>
      <c r="T40" s="5" t="n"/>
      <c r="U40" s="5" t="n"/>
      <c r="V40" s="5" t="n"/>
      <c r="W40" s="5" t="n"/>
      <c r="X40" s="6" t="n"/>
      <c r="Y40" s="64" t="inlineStr">
        <is>
          <t>「アップロードされたファイルの形式が正しくありません。CSV形式のファイルを選択してください。」エラーが表示され、ユーザーは作成されない。</t>
        </is>
      </c>
      <c r="Z40" s="5" t="n"/>
      <c r="AA40" s="5" t="n"/>
      <c r="AB40" s="5" t="n"/>
      <c r="AC40" s="5" t="n"/>
      <c r="AD40" s="6" t="n"/>
      <c r="AE40" s="65" t="inlineStr">
        <is>
          <t>A</t>
        </is>
      </c>
      <c r="AF40" s="6" t="n"/>
      <c r="AG40" s="65" t="n"/>
      <c r="AH40" s="6" t="n"/>
      <c r="AI40" s="65" t="n"/>
      <c r="AJ40" s="6" t="n"/>
      <c r="AK40" s="65" t="n"/>
      <c r="AL40" s="6" t="n"/>
      <c r="AM40" s="65" t="n"/>
      <c r="AN40" s="5" t="n"/>
      <c r="AO40" s="6" t="n"/>
      <c r="AP40" s="65" t="n"/>
      <c r="AQ40" s="6" t="n"/>
      <c r="AR40" s="64" t="n"/>
      <c r="AS40" s="5" t="n"/>
      <c r="AT40" s="6" t="n"/>
      <c r="AU40" s="65" t="n"/>
      <c r="AV40" s="6" t="n"/>
      <c r="AW40" s="65" t="n"/>
      <c r="AX40" s="6" t="n"/>
      <c r="AY40" s="65" t="n"/>
      <c r="AZ40" s="6" t="n"/>
      <c r="BA40" s="65" t="n"/>
      <c r="BB40" s="5" t="n"/>
      <c r="BC40" s="6" t="n"/>
      <c r="BD40" s="65" t="n"/>
      <c r="BE40" s="6" t="n"/>
      <c r="BF40" s="64" t="n"/>
      <c r="BG40" s="5" t="n"/>
      <c r="BH40" s="6" t="n"/>
      <c r="BI40" s="66" t="n"/>
      <c r="BJ40" s="5" t="n"/>
      <c r="BK40" s="40" t="n"/>
    </row>
    <row r="41" ht="45" customHeight="1">
      <c r="A41" s="59" t="inlineStr">
        <is>
          <t>UAT-WEB-035</t>
        </is>
      </c>
      <c r="B41" s="6" t="n"/>
      <c r="C41" s="60" t="inlineStr">
        <is>
          <t>システム管理者</t>
        </is>
      </c>
      <c r="D41" s="5" t="n"/>
      <c r="E41" s="5" t="n"/>
      <c r="F41" s="6" t="n"/>
      <c r="G41" s="60" t="inlineStr">
        <is>
          <t>ユーザーインポート</t>
        </is>
      </c>
      <c r="H41" s="5" t="n"/>
      <c r="I41" s="6" t="n"/>
      <c r="J41" s="60" t="inlineStr">
        <is>
          <t>アップロード失敗 — CSVヘッダーがテンプレートと異なる</t>
        </is>
      </c>
      <c r="K41" s="5" t="n"/>
      <c r="L41" s="6" t="n"/>
      <c r="M41" s="60" t="inlineStr">
        <is>
          <t>標準テンプレートと異なるヘッダーを持つCSVファイルがある。</t>
        </is>
      </c>
      <c r="N41" s="5" t="n"/>
      <c r="O41" s="5" t="n"/>
      <c r="P41" s="5" t="n"/>
      <c r="Q41" s="6" t="n"/>
      <c r="R41" s="60" t="inlineStr">
        <is>
          <t>① ヘッダーを変更したCSVファイルを選択する
② 「一括アップロード」をクリックする</t>
        </is>
      </c>
      <c r="S41" s="5" t="n"/>
      <c r="T41" s="5" t="n"/>
      <c r="U41" s="5" t="n"/>
      <c r="V41" s="5" t="n"/>
      <c r="W41" s="5" t="n"/>
      <c r="X41" s="6" t="n"/>
      <c r="Y41" s="60" t="inlineStr">
        <is>
          <t>ヘッダーがテンプレートと異なる旨のエラーが表示される。ユーザーは作成されず、MVE APIは呼び出されない。</t>
        </is>
      </c>
      <c r="Z41" s="5" t="n"/>
      <c r="AA41" s="5" t="n"/>
      <c r="AB41" s="5" t="n"/>
      <c r="AC41" s="5" t="n"/>
      <c r="AD41" s="6" t="n"/>
      <c r="AE41" s="61" t="inlineStr">
        <is>
          <t>A</t>
        </is>
      </c>
      <c r="AF41" s="6" t="n"/>
      <c r="AG41" s="61" t="n"/>
      <c r="AH41" s="6" t="n"/>
      <c r="AI41" s="61" t="n"/>
      <c r="AJ41" s="6" t="n"/>
      <c r="AK41" s="61" t="n"/>
      <c r="AL41" s="6" t="n"/>
      <c r="AM41" s="61" t="n"/>
      <c r="AN41" s="5" t="n"/>
      <c r="AO41" s="6" t="n"/>
      <c r="AP41" s="61" t="n"/>
      <c r="AQ41" s="6" t="n"/>
      <c r="AR41" s="60" t="n"/>
      <c r="AS41" s="5" t="n"/>
      <c r="AT41" s="6" t="n"/>
      <c r="AU41" s="61" t="n"/>
      <c r="AV41" s="6" t="n"/>
      <c r="AW41" s="61" t="n"/>
      <c r="AX41" s="6" t="n"/>
      <c r="AY41" s="61" t="n"/>
      <c r="AZ41" s="6" t="n"/>
      <c r="BA41" s="61" t="n"/>
      <c r="BB41" s="5" t="n"/>
      <c r="BC41" s="6" t="n"/>
      <c r="BD41" s="61" t="n"/>
      <c r="BE41" s="6" t="n"/>
      <c r="BF41" s="60" t="n"/>
      <c r="BG41" s="5" t="n"/>
      <c r="BH41" s="6" t="n"/>
      <c r="BI41" s="62" t="n"/>
      <c r="BJ41" s="5" t="n"/>
      <c r="BK41" s="40" t="n"/>
    </row>
    <row r="42" ht="60" customHeight="1">
      <c r="A42" s="63" t="inlineStr">
        <is>
          <t>UAT-WEB-036</t>
        </is>
      </c>
      <c r="B42" s="6" t="n"/>
      <c r="C42" s="64" t="inlineStr">
        <is>
          <t>システム管理者</t>
        </is>
      </c>
      <c r="D42" s="5" t="n"/>
      <c r="E42" s="5" t="n"/>
      <c r="F42" s="6" t="n"/>
      <c r="G42" s="64" t="inlineStr">
        <is>
          <t>ユーザーインポート</t>
        </is>
      </c>
      <c r="H42" s="5" t="n"/>
      <c r="I42" s="6" t="n"/>
      <c r="J42" s="64" t="inlineStr">
        <is>
          <t>アップロード失敗 — CSVファイルが空</t>
        </is>
      </c>
      <c r="K42" s="5" t="n"/>
      <c r="L42" s="6" t="n"/>
      <c r="M42" s="64" t="inlineStr">
        <is>
          <t>ヘッダーもデータもない空のCSVファイルがある。</t>
        </is>
      </c>
      <c r="N42" s="5" t="n"/>
      <c r="O42" s="5" t="n"/>
      <c r="P42" s="5" t="n"/>
      <c r="Q42" s="6" t="n"/>
      <c r="R42" s="64" t="inlineStr">
        <is>
          <t>① 空のCSVファイルをアップロードする
② 「一括アップロード」をクリックする</t>
        </is>
      </c>
      <c r="S42" s="5" t="n"/>
      <c r="T42" s="5" t="n"/>
      <c r="U42" s="5" t="n"/>
      <c r="V42" s="5" t="n"/>
      <c r="W42" s="5" t="n"/>
      <c r="X42" s="6" t="n"/>
      <c r="Y42" s="64" t="inlineStr">
        <is>
          <t>「CSVファイルにデータが存在しません。内容をご確認ください。」エラーが表示され、ユーザーは作成されない。</t>
        </is>
      </c>
      <c r="Z42" s="5" t="n"/>
      <c r="AA42" s="5" t="n"/>
      <c r="AB42" s="5" t="n"/>
      <c r="AC42" s="5" t="n"/>
      <c r="AD42" s="6" t="n"/>
      <c r="AE42" s="65" t="inlineStr">
        <is>
          <t>A</t>
        </is>
      </c>
      <c r="AF42" s="6" t="n"/>
      <c r="AG42" s="65" t="n"/>
      <c r="AH42" s="6" t="n"/>
      <c r="AI42" s="65" t="n"/>
      <c r="AJ42" s="6" t="n"/>
      <c r="AK42" s="65" t="n"/>
      <c r="AL42" s="6" t="n"/>
      <c r="AM42" s="65" t="n"/>
      <c r="AN42" s="5" t="n"/>
      <c r="AO42" s="6" t="n"/>
      <c r="AP42" s="65" t="n"/>
      <c r="AQ42" s="6" t="n"/>
      <c r="AR42" s="64" t="n"/>
      <c r="AS42" s="5" t="n"/>
      <c r="AT42" s="6" t="n"/>
      <c r="AU42" s="65" t="n"/>
      <c r="AV42" s="6" t="n"/>
      <c r="AW42" s="65" t="n"/>
      <c r="AX42" s="6" t="n"/>
      <c r="AY42" s="65" t="n"/>
      <c r="AZ42" s="6" t="n"/>
      <c r="BA42" s="65" t="n"/>
      <c r="BB42" s="5" t="n"/>
      <c r="BC42" s="6" t="n"/>
      <c r="BD42" s="65" t="n"/>
      <c r="BE42" s="6" t="n"/>
      <c r="BF42" s="64" t="n"/>
      <c r="BG42" s="5" t="n"/>
      <c r="BH42" s="6" t="n"/>
      <c r="BI42" s="66" t="n"/>
      <c r="BJ42" s="5" t="n"/>
      <c r="BK42" s="40" t="n"/>
    </row>
    <row r="43" ht="75" customHeight="1">
      <c r="A43" s="59" t="inlineStr">
        <is>
          <t>UAT-WEB-037</t>
        </is>
      </c>
      <c r="B43" s="6" t="n"/>
      <c r="C43" s="60" t="inlineStr">
        <is>
          <t>システム管理者</t>
        </is>
      </c>
      <c r="D43" s="5" t="n"/>
      <c r="E43" s="5" t="n"/>
      <c r="F43" s="6" t="n"/>
      <c r="G43" s="60" t="inlineStr">
        <is>
          <t>ユーザーインポート</t>
        </is>
      </c>
      <c r="H43" s="5" t="n"/>
      <c r="I43" s="6" t="n"/>
      <c r="J43" s="60" t="inlineStr">
        <is>
          <t>アップロード失敗 — エラーデータあり（メールアドレス重複）</t>
        </is>
      </c>
      <c r="K43" s="5" t="n"/>
      <c r="L43" s="6" t="n"/>
      <c r="M43" s="60" t="inlineStr">
        <is>
          <t>有効なCSVファイルだが、システム内に既に存在するメールアドレスを含む行がある。</t>
        </is>
      </c>
      <c r="N43" s="5" t="n"/>
      <c r="O43" s="5" t="n"/>
      <c r="P43" s="5" t="n"/>
      <c r="Q43" s="6" t="n"/>
      <c r="R43" s="60" t="inlineStr">
        <is>
          <t>① メールアドレスが重複するCSVファイルをアップロードする
② 「一括アップロード」をクリックする</t>
        </is>
      </c>
      <c r="S43" s="5" t="n"/>
      <c r="T43" s="5" t="n"/>
      <c r="U43" s="5" t="n"/>
      <c r="V43" s="5" t="n"/>
      <c r="W43" s="5" t="n"/>
      <c r="X43" s="6" t="n"/>
      <c r="Y43" s="60" t="inlineStr">
        <is>
          <t>エラーが表示され、エラーファイルのダウンロードリンクが表示される。
ユーザーは作成されない。
エラーファイルのエラー備考列にメールアドレス重複エラーが記載される。</t>
        </is>
      </c>
      <c r="Z43" s="5" t="n"/>
      <c r="AA43" s="5" t="n"/>
      <c r="AB43" s="5" t="n"/>
      <c r="AC43" s="5" t="n"/>
      <c r="AD43" s="6" t="n"/>
      <c r="AE43" s="61" t="inlineStr">
        <is>
          <t>B</t>
        </is>
      </c>
      <c r="AF43" s="6" t="n"/>
      <c r="AG43" s="61" t="n"/>
      <c r="AH43" s="6" t="n"/>
      <c r="AI43" s="61" t="n"/>
      <c r="AJ43" s="6" t="n"/>
      <c r="AK43" s="61" t="n"/>
      <c r="AL43" s="6" t="n"/>
      <c r="AM43" s="61" t="n"/>
      <c r="AN43" s="5" t="n"/>
      <c r="AO43" s="6" t="n"/>
      <c r="AP43" s="61" t="n"/>
      <c r="AQ43" s="6" t="n"/>
      <c r="AR43" s="60" t="n"/>
      <c r="AS43" s="5" t="n"/>
      <c r="AT43" s="6" t="n"/>
      <c r="AU43" s="61" t="n"/>
      <c r="AV43" s="6" t="n"/>
      <c r="AW43" s="61" t="n"/>
      <c r="AX43" s="6" t="n"/>
      <c r="AY43" s="61" t="n"/>
      <c r="AZ43" s="6" t="n"/>
      <c r="BA43" s="61" t="n"/>
      <c r="BB43" s="5" t="n"/>
      <c r="BC43" s="6" t="n"/>
      <c r="BD43" s="61" t="n"/>
      <c r="BE43" s="6" t="n"/>
      <c r="BF43" s="60" t="n"/>
      <c r="BG43" s="5" t="n"/>
      <c r="BH43" s="6" t="n"/>
      <c r="BI43" s="62" t="n"/>
      <c r="BJ43" s="5" t="n"/>
      <c r="BK43" s="40" t="n"/>
    </row>
    <row r="44" ht="75" customHeight="1">
      <c r="A44" s="63" t="inlineStr">
        <is>
          <t>UAT-WEB-038</t>
        </is>
      </c>
      <c r="B44" s="6" t="n"/>
      <c r="C44" s="64" t="inlineStr">
        <is>
          <t>システム管理者</t>
        </is>
      </c>
      <c r="D44" s="5" t="n"/>
      <c r="E44" s="5" t="n"/>
      <c r="F44" s="6" t="n"/>
      <c r="G44" s="64" t="inlineStr">
        <is>
          <t>ユーザーインポート</t>
        </is>
      </c>
      <c r="H44" s="5" t="n"/>
      <c r="I44" s="6" t="n"/>
      <c r="J44" s="64" t="inlineStr">
        <is>
          <t>アップロード失敗 — 同一テナント内でSIP番号が重複</t>
        </is>
      </c>
      <c r="K44" s="5" t="n"/>
      <c r="L44" s="6" t="n"/>
      <c r="M44" s="64" t="inlineStr">
        <is>
          <t>CSVファイル内に同じ内線SIP番号を使用する行が2行ある。</t>
        </is>
      </c>
      <c r="N44" s="5" t="n"/>
      <c r="O44" s="5" t="n"/>
      <c r="P44" s="5" t="n"/>
      <c r="Q44" s="6" t="n"/>
      <c r="R44" s="64" t="inlineStr">
        <is>
          <t>① CSVファイルをアップロードする 数字を含む SIP 重複
② 「一括アップロード」をクリックする</t>
        </is>
      </c>
      <c r="S44" s="5" t="n"/>
      <c r="T44" s="5" t="n"/>
      <c r="U44" s="5" t="n"/>
      <c r="V44" s="5" t="n"/>
      <c r="W44" s="5" t="n"/>
      <c r="X44" s="6" t="n"/>
      <c r="Y44" s="64" t="inlineStr">
        <is>
          <t>エラーが表示され、エラーファイルのダウンロードリンクが表示される。
ユーザーは作成されない。
エラーファイルのエラー備考列にSIP番号重複エラーが記載される。</t>
        </is>
      </c>
      <c r="Z44" s="5" t="n"/>
      <c r="AA44" s="5" t="n"/>
      <c r="AB44" s="5" t="n"/>
      <c r="AC44" s="5" t="n"/>
      <c r="AD44" s="6" t="n"/>
      <c r="AE44" s="65" t="inlineStr">
        <is>
          <t>B</t>
        </is>
      </c>
      <c r="AF44" s="6" t="n"/>
      <c r="AG44" s="65" t="n"/>
      <c r="AH44" s="6" t="n"/>
      <c r="AI44" s="65" t="n"/>
      <c r="AJ44" s="6" t="n"/>
      <c r="AK44" s="65" t="n"/>
      <c r="AL44" s="6" t="n"/>
      <c r="AM44" s="65" t="n"/>
      <c r="AN44" s="5" t="n"/>
      <c r="AO44" s="6" t="n"/>
      <c r="AP44" s="65" t="n"/>
      <c r="AQ44" s="6" t="n"/>
      <c r="AR44" s="64" t="n"/>
      <c r="AS44" s="5" t="n"/>
      <c r="AT44" s="6" t="n"/>
      <c r="AU44" s="65" t="n"/>
      <c r="AV44" s="6" t="n"/>
      <c r="AW44" s="65" t="n"/>
      <c r="AX44" s="6" t="n"/>
      <c r="AY44" s="65" t="n"/>
      <c r="AZ44" s="6" t="n"/>
      <c r="BA44" s="65" t="n"/>
      <c r="BB44" s="5" t="n"/>
      <c r="BC44" s="6" t="n"/>
      <c r="BD44" s="65" t="n"/>
      <c r="BE44" s="6" t="n"/>
      <c r="BF44" s="64" t="n"/>
      <c r="BG44" s="5" t="n"/>
      <c r="BH44" s="6" t="n"/>
      <c r="BI44" s="66" t="n"/>
      <c r="BJ44" s="5" t="n"/>
      <c r="BK44" s="40" t="n"/>
    </row>
    <row r="45" ht="75" customHeight="1">
      <c r="A45" s="59" t="inlineStr">
        <is>
          <t>UAT-WEB-039</t>
        </is>
      </c>
      <c r="B45" s="6" t="n"/>
      <c r="C45" s="60" t="inlineStr">
        <is>
          <t>システム管理者</t>
        </is>
      </c>
      <c r="D45" s="5" t="n"/>
      <c r="E45" s="5" t="n"/>
      <c r="F45" s="6" t="n"/>
      <c r="G45" s="60" t="inlineStr">
        <is>
          <t>ユーザーインポート</t>
        </is>
      </c>
      <c r="H45" s="5" t="n"/>
      <c r="I45" s="6" t="n"/>
      <c r="J45" s="60" t="inlineStr">
        <is>
          <t>エラーファイル修正後に再アップロード</t>
        </is>
      </c>
      <c r="K45" s="5" t="n"/>
      <c r="L45" s="6" t="n"/>
      <c r="M45" s="60" t="inlineStr">
        <is>
          <t>エラー内容を修正したCSVファイルを準備している。</t>
        </is>
      </c>
      <c r="N45" s="5" t="n"/>
      <c r="O45" s="5" t="n"/>
      <c r="P45" s="5" t="n"/>
      <c r="Q45" s="6" t="n"/>
      <c r="R45" s="60" t="inlineStr">
        <is>
          <t>① エラーファイルを開く
② エラー備考の内容に従ってデータを修正する
③ エラー備考列を削除する
④ 再アップロードする</t>
        </is>
      </c>
      <c r="S45" s="5" t="n"/>
      <c r="T45" s="5" t="n"/>
      <c r="U45" s="5" t="n"/>
      <c r="V45" s="5" t="n"/>
      <c r="W45" s="5" t="n"/>
      <c r="X45" s="6" t="n"/>
      <c r="Y45" s="60" t="inlineStr">
        <is>
          <t>アップロードに成功し、すべてのユーザーが「登録待ち」状態で作成される</t>
        </is>
      </c>
      <c r="Z45" s="5" t="n"/>
      <c r="AA45" s="5" t="n"/>
      <c r="AB45" s="5" t="n"/>
      <c r="AC45" s="5" t="n"/>
      <c r="AD45" s="6" t="n"/>
      <c r="AE45" s="61" t="inlineStr">
        <is>
          <t>N</t>
        </is>
      </c>
      <c r="AF45" s="6" t="n"/>
      <c r="AG45" s="61" t="n"/>
      <c r="AH45" s="6" t="n"/>
      <c r="AI45" s="61" t="n"/>
      <c r="AJ45" s="6" t="n"/>
      <c r="AK45" s="61" t="n"/>
      <c r="AL45" s="6" t="n"/>
      <c r="AM45" s="61" t="n"/>
      <c r="AN45" s="5" t="n"/>
      <c r="AO45" s="6" t="n"/>
      <c r="AP45" s="61" t="n"/>
      <c r="AQ45" s="6" t="n"/>
      <c r="AR45" s="60" t="n"/>
      <c r="AS45" s="5" t="n"/>
      <c r="AT45" s="6" t="n"/>
      <c r="AU45" s="61" t="n"/>
      <c r="AV45" s="6" t="n"/>
      <c r="AW45" s="61" t="n"/>
      <c r="AX45" s="6" t="n"/>
      <c r="AY45" s="61" t="n"/>
      <c r="AZ45" s="6" t="n"/>
      <c r="BA45" s="61" t="n"/>
      <c r="BB45" s="5" t="n"/>
      <c r="BC45" s="6" t="n"/>
      <c r="BD45" s="61" t="n"/>
      <c r="BE45" s="6" t="n"/>
      <c r="BF45" s="60" t="n"/>
      <c r="BG45" s="5" t="n"/>
      <c r="BH45" s="6" t="n"/>
      <c r="BI45" s="62" t="n"/>
      <c r="BJ45" s="5" t="n"/>
      <c r="BK45" s="40" t="n"/>
    </row>
    <row r="46" ht="30" customHeight="1">
      <c r="A46" s="63" t="inlineStr">
        <is>
          <t>UAT-WEB-040</t>
        </is>
      </c>
      <c r="B46" s="6" t="n"/>
      <c r="C46" s="64" t="inlineStr">
        <is>
          <t>システム管理者</t>
        </is>
      </c>
      <c r="D46" s="5" t="n"/>
      <c r="E46" s="5" t="n"/>
      <c r="F46" s="6" t="n"/>
      <c r="G46" s="64" t="inlineStr">
        <is>
          <t>ユーザーインポート</t>
        </is>
      </c>
      <c r="H46" s="5" t="n"/>
      <c r="I46" s="6" t="n"/>
      <c r="J46" s="64" t="inlineStr">
        <is>
          <t>アップロード失敗 — ファイルが50MB超</t>
        </is>
      </c>
      <c r="K46" s="5" t="n"/>
      <c r="L46" s="6" t="n"/>
      <c r="M46" s="64" t="inlineStr">
        <is>
          <t>50MBを超えるCSVファイルがある。</t>
        </is>
      </c>
      <c r="N46" s="5" t="n"/>
      <c r="O46" s="5" t="n"/>
      <c r="P46" s="5" t="n"/>
      <c r="Q46" s="6" t="n"/>
      <c r="R46" s="64" t="inlineStr">
        <is>
          <t>① ファイル &gt; 50MB
② 「一括アップロード」をクリックする</t>
        </is>
      </c>
      <c r="S46" s="5" t="n"/>
      <c r="T46" s="5" t="n"/>
      <c r="U46" s="5" t="n"/>
      <c r="V46" s="5" t="n"/>
      <c r="W46" s="5" t="n"/>
      <c r="X46" s="6" t="n"/>
      <c r="Y46" s="64" t="inlineStr">
        <is>
          <t>ファイルサイズエラーが表示され、処理されない。</t>
        </is>
      </c>
      <c r="Z46" s="5" t="n"/>
      <c r="AA46" s="5" t="n"/>
      <c r="AB46" s="5" t="n"/>
      <c r="AC46" s="5" t="n"/>
      <c r="AD46" s="6" t="n"/>
      <c r="AE46" s="65" t="inlineStr">
        <is>
          <t>B</t>
        </is>
      </c>
      <c r="AF46" s="6" t="n"/>
      <c r="AG46" s="65" t="n"/>
      <c r="AH46" s="6" t="n"/>
      <c r="AI46" s="65" t="n"/>
      <c r="AJ46" s="6" t="n"/>
      <c r="AK46" s="65" t="n"/>
      <c r="AL46" s="6" t="n"/>
      <c r="AM46" s="65" t="n"/>
      <c r="AN46" s="5" t="n"/>
      <c r="AO46" s="6" t="n"/>
      <c r="AP46" s="65" t="n"/>
      <c r="AQ46" s="6" t="n"/>
      <c r="AR46" s="64" t="n"/>
      <c r="AS46" s="5" t="n"/>
      <c r="AT46" s="6" t="n"/>
      <c r="AU46" s="65" t="n"/>
      <c r="AV46" s="6" t="n"/>
      <c r="AW46" s="65" t="n"/>
      <c r="AX46" s="6" t="n"/>
      <c r="AY46" s="65" t="n"/>
      <c r="AZ46" s="6" t="n"/>
      <c r="BA46" s="65" t="n"/>
      <c r="BB46" s="5" t="n"/>
      <c r="BC46" s="6" t="n"/>
      <c r="BD46" s="65" t="n"/>
      <c r="BE46" s="6" t="n"/>
      <c r="BF46" s="64" t="n"/>
      <c r="BG46" s="5" t="n"/>
      <c r="BH46" s="6" t="n"/>
      <c r="BI46" s="66" t="n"/>
      <c r="BJ46" s="5" t="n"/>
      <c r="BK46" s="40" t="n"/>
    </row>
    <row r="47" ht="75" customHeight="1">
      <c r="A47" s="59" t="inlineStr">
        <is>
          <t>UAT-WEB-041</t>
        </is>
      </c>
      <c r="B47" s="6" t="n"/>
      <c r="C47" s="60" t="inlineStr">
        <is>
          <t>システム管理者</t>
        </is>
      </c>
      <c r="D47" s="5" t="n"/>
      <c r="E47" s="5" t="n"/>
      <c r="F47" s="6" t="n"/>
      <c r="G47" s="60" t="inlineStr">
        <is>
          <t>ユーザーインポート</t>
        </is>
      </c>
      <c r="H47" s="5" t="n"/>
      <c r="I47" s="6" t="n"/>
      <c r="J47" s="60" t="inlineStr">
        <is>
          <t>アップロード失敗 — SIP番号が無効</t>
        </is>
      </c>
      <c r="K47" s="5" t="n"/>
      <c r="L47" s="6" t="n"/>
      <c r="M47" s="60" t="inlineStr">
        <is>
          <t>テナントID = 111 だが、SIP番号が11000–11899の範囲外である。</t>
        </is>
      </c>
      <c r="N47" s="5" t="n"/>
      <c r="O47" s="5" t="n"/>
      <c r="P47" s="5" t="n"/>
      <c r="Q47" s="6" t="n"/>
      <c r="R47" s="60" t="inlineStr">
        <is>
          <t>① SIPが11000–11899の範囲外のCSVファイルをアップロードする
② 「一括アップロード」をクリックする</t>
        </is>
      </c>
      <c r="S47" s="5" t="n"/>
      <c r="T47" s="5" t="n"/>
      <c r="U47" s="5" t="n"/>
      <c r="V47" s="5" t="n"/>
      <c r="W47" s="5" t="n"/>
      <c r="X47" s="6" t="n"/>
      <c r="Y47" s="60" t="inlineStr">
        <is>
          <t>エラーが表示され、エラーファイルのダウンロードリンクが表示される。
ユーザーは作成されない。
エラーファイルのエラー備考列にSIP番号が無効である旨が記載される。</t>
        </is>
      </c>
      <c r="Z47" s="5" t="n"/>
      <c r="AA47" s="5" t="n"/>
      <c r="AB47" s="5" t="n"/>
      <c r="AC47" s="5" t="n"/>
      <c r="AD47" s="6" t="n"/>
      <c r="AE47" s="61" t="inlineStr">
        <is>
          <t>B</t>
        </is>
      </c>
      <c r="AF47" s="6" t="n"/>
      <c r="AG47" s="61" t="n"/>
      <c r="AH47" s="6" t="n"/>
      <c r="AI47" s="61" t="n"/>
      <c r="AJ47" s="6" t="n"/>
      <c r="AK47" s="61" t="n"/>
      <c r="AL47" s="6" t="n"/>
      <c r="AM47" s="61" t="n"/>
      <c r="AN47" s="5" t="n"/>
      <c r="AO47" s="6" t="n"/>
      <c r="AP47" s="61" t="n"/>
      <c r="AQ47" s="6" t="n"/>
      <c r="AR47" s="60" t="n"/>
      <c r="AS47" s="5" t="n"/>
      <c r="AT47" s="6" t="n"/>
      <c r="AU47" s="61" t="n"/>
      <c r="AV47" s="6" t="n"/>
      <c r="AW47" s="61" t="n"/>
      <c r="AX47" s="6" t="n"/>
      <c r="AY47" s="61" t="n"/>
      <c r="AZ47" s="6" t="n"/>
      <c r="BA47" s="61" t="n"/>
      <c r="BB47" s="5" t="n"/>
      <c r="BC47" s="6" t="n"/>
      <c r="BD47" s="61" t="n"/>
      <c r="BE47" s="6" t="n"/>
      <c r="BF47" s="60" t="n"/>
      <c r="BG47" s="5" t="n"/>
      <c r="BH47" s="6" t="n"/>
      <c r="BI47" s="62" t="n"/>
      <c r="BJ47" s="5" t="n"/>
      <c r="BK47" s="40" t="n"/>
    </row>
    <row r="48" ht="75" customHeight="1">
      <c r="A48" s="63" t="inlineStr">
        <is>
          <t>UAT-WEB-042</t>
        </is>
      </c>
      <c r="B48" s="6" t="n"/>
      <c r="C48" s="64" t="inlineStr">
        <is>
          <t>システム管理者</t>
        </is>
      </c>
      <c r="D48" s="5" t="n"/>
      <c r="E48" s="5" t="n"/>
      <c r="F48" s="6" t="n"/>
      <c r="G48" s="64" t="inlineStr">
        <is>
          <t>ユーザーインポート</t>
        </is>
      </c>
      <c r="H48" s="5" t="n"/>
      <c r="I48" s="6" t="n"/>
      <c r="J48" s="64" t="inlineStr">
        <is>
          <t>アップロード失敗 — SIP番号が無効</t>
        </is>
      </c>
      <c r="K48" s="5" t="n"/>
      <c r="L48" s="6" t="n"/>
      <c r="M48" s="64" t="inlineStr">
        <is>
          <t>テナントID = 500 だが、SIP番号が10000–99899の範囲外である。</t>
        </is>
      </c>
      <c r="N48" s="5" t="n"/>
      <c r="O48" s="5" t="n"/>
      <c r="P48" s="5" t="n"/>
      <c r="Q48" s="6" t="n"/>
      <c r="R48" s="64" t="inlineStr">
        <is>
          <t>① SIPが10000–99899の範囲外のCSVファイルをアップロードする
② 「一括アップロード」をクリックする</t>
        </is>
      </c>
      <c r="S48" s="5" t="n"/>
      <c r="T48" s="5" t="n"/>
      <c r="U48" s="5" t="n"/>
      <c r="V48" s="5" t="n"/>
      <c r="W48" s="5" t="n"/>
      <c r="X48" s="6" t="n"/>
      <c r="Y48" s="64" t="inlineStr">
        <is>
          <t>エラーが表示され、エラーファイルのダウンロードリンクが表示される。
ユーザーは作成されない。
エラーファイルのエラー備考列にSIP番号が無効である旨が記載される。</t>
        </is>
      </c>
      <c r="Z48" s="5" t="n"/>
      <c r="AA48" s="5" t="n"/>
      <c r="AB48" s="5" t="n"/>
      <c r="AC48" s="5" t="n"/>
      <c r="AD48" s="6" t="n"/>
      <c r="AE48" s="65" t="inlineStr">
        <is>
          <t>B</t>
        </is>
      </c>
      <c r="AF48" s="6" t="n"/>
      <c r="AG48" s="65" t="n"/>
      <c r="AH48" s="6" t="n"/>
      <c r="AI48" s="65" t="n"/>
      <c r="AJ48" s="6" t="n"/>
      <c r="AK48" s="65" t="n"/>
      <c r="AL48" s="6" t="n"/>
      <c r="AM48" s="65" t="n"/>
      <c r="AN48" s="5" t="n"/>
      <c r="AO48" s="6" t="n"/>
      <c r="AP48" s="65" t="n"/>
      <c r="AQ48" s="6" t="n"/>
      <c r="AR48" s="64" t="n"/>
      <c r="AS48" s="5" t="n"/>
      <c r="AT48" s="6" t="n"/>
      <c r="AU48" s="65" t="n"/>
      <c r="AV48" s="6" t="n"/>
      <c r="AW48" s="65" t="n"/>
      <c r="AX48" s="6" t="n"/>
      <c r="AY48" s="65" t="n"/>
      <c r="AZ48" s="6" t="n"/>
      <c r="BA48" s="65" t="n"/>
      <c r="BB48" s="5" t="n"/>
      <c r="BC48" s="6" t="n"/>
      <c r="BD48" s="65" t="n"/>
      <c r="BE48" s="6" t="n"/>
      <c r="BF48" s="64" t="n"/>
      <c r="BG48" s="5" t="n"/>
      <c r="BH48" s="6" t="n"/>
      <c r="BI48" s="66" t="n"/>
      <c r="BJ48" s="5" t="n"/>
      <c r="BK48" s="40" t="n"/>
    </row>
    <row r="49" ht="150" customHeight="1">
      <c r="A49" s="59" t="inlineStr">
        <is>
          <t>UAT-WEB-043</t>
        </is>
      </c>
      <c r="B49" s="6" t="n"/>
      <c r="C49" s="60" t="inlineStr">
        <is>
          <t>テナント管理者</t>
        </is>
      </c>
      <c r="D49" s="5" t="n"/>
      <c r="E49" s="5" t="n"/>
      <c r="F49" s="6" t="n"/>
      <c r="G49" s="60" t="inlineStr">
        <is>
          <t>ログイン・セキュリティ</t>
        </is>
      </c>
      <c r="H49" s="5" t="n"/>
      <c r="I49" s="6" t="n"/>
      <c r="J49" s="60" t="inlineStr">
        <is>
          <t>テナント管理者ログイン — OTP受信・入力成功</t>
        </is>
      </c>
      <c r="K49" s="5" t="n"/>
      <c r="L49" s="6" t="n"/>
      <c r="M49" s="60" t="inlineStr">
        <is>
          <t>有効なテナント管理者アカウント</t>
        </is>
      </c>
      <c r="N49" s="5" t="n"/>
      <c r="O49" s="5" t="n"/>
      <c r="P49" s="5" t="n"/>
      <c r="Q49" s="6" t="n"/>
      <c r="R49" s="60" t="inlineStr">
        <is>
          <t>① 第1回（DEV）: https://dev.apl.purattocall.com/admin/login にアクセスする
第2回（PRD）: https://apl.purattocall.com/admin/login にアクセスする
② メールアドレスと有効なパスワードを入力する
③ 「ログイン」をクリックする
④ メールで6桁のOTPコードを受信したことを確認する
⑥ OTP → 「ログイン」をクリックする</t>
        </is>
      </c>
      <c r="S49" s="5" t="n"/>
      <c r="T49" s="5" t="n"/>
      <c r="U49" s="5" t="n"/>
      <c r="V49" s="5" t="n"/>
      <c r="W49" s="5" t="n"/>
      <c r="X49" s="6" t="n"/>
      <c r="Y49" s="60" t="inlineStr">
        <is>
          <t>ログイン成功。ユーザー一覧画面へ遷移する。OTPの有効期限は3分。</t>
        </is>
      </c>
      <c r="Z49" s="5" t="n"/>
      <c r="AA49" s="5" t="n"/>
      <c r="AB49" s="5" t="n"/>
      <c r="AC49" s="5" t="n"/>
      <c r="AD49" s="6" t="n"/>
      <c r="AE49" s="61" t="inlineStr">
        <is>
          <t>N</t>
        </is>
      </c>
      <c r="AF49" s="6" t="n"/>
      <c r="AG49" s="61" t="n"/>
      <c r="AH49" s="6" t="n"/>
      <c r="AI49" s="61" t="n"/>
      <c r="AJ49" s="6" t="n"/>
      <c r="AK49" s="61" t="n"/>
      <c r="AL49" s="6" t="n"/>
      <c r="AM49" s="61" t="n"/>
      <c r="AN49" s="5" t="n"/>
      <c r="AO49" s="6" t="n"/>
      <c r="AP49" s="61" t="n"/>
      <c r="AQ49" s="6" t="n"/>
      <c r="AR49" s="60" t="n"/>
      <c r="AS49" s="5" t="n"/>
      <c r="AT49" s="6" t="n"/>
      <c r="AU49" s="61" t="n"/>
      <c r="AV49" s="6" t="n"/>
      <c r="AW49" s="61" t="n"/>
      <c r="AX49" s="6" t="n"/>
      <c r="AY49" s="61" t="n"/>
      <c r="AZ49" s="6" t="n"/>
      <c r="BA49" s="61" t="n"/>
      <c r="BB49" s="5" t="n"/>
      <c r="BC49" s="6" t="n"/>
      <c r="BD49" s="61" t="n"/>
      <c r="BE49" s="6" t="n"/>
      <c r="BF49" s="60" t="n"/>
      <c r="BG49" s="5" t="n"/>
      <c r="BH49" s="6" t="n"/>
      <c r="BI49" s="62" t="n"/>
      <c r="BJ49" s="5" t="n"/>
      <c r="BK49" s="40" t="n"/>
    </row>
    <row r="50" ht="60" customHeight="1">
      <c r="A50" s="63" t="inlineStr">
        <is>
          <t>UAT-WEB-044</t>
        </is>
      </c>
      <c r="B50" s="6" t="n"/>
      <c r="C50" s="64" t="inlineStr">
        <is>
          <t>テナント管理者</t>
        </is>
      </c>
      <c r="D50" s="5" t="n"/>
      <c r="E50" s="5" t="n"/>
      <c r="F50" s="6" t="n"/>
      <c r="G50" s="64" t="inlineStr">
        <is>
          <t>ログイン・セキュリティ</t>
        </is>
      </c>
      <c r="H50" s="5" t="n"/>
      <c r="I50" s="6" t="n"/>
      <c r="J50" s="64" t="inlineStr">
        <is>
          <t>OTP期限切れ — OTP再送信成功</t>
        </is>
      </c>
      <c r="K50" s="5" t="n"/>
      <c r="L50" s="6" t="n"/>
      <c r="M50" s="64" t="inlineStr">
        <is>
          <t>OTP入力画面を表示中（テナント管理者）。OTPは3分で期限切れ。</t>
        </is>
      </c>
      <c r="N50" s="5" t="n"/>
      <c r="O50" s="5" t="n"/>
      <c r="P50" s="5" t="n"/>
      <c r="Q50" s="6" t="n"/>
      <c r="R50" s="64" t="inlineStr">
        <is>
          <t>① OTPの有効期限が切れるまで3分以上待機する
② 「再送信」ボタンをクリックする
③ 新しく受信したOTP</t>
        </is>
      </c>
      <c r="S50" s="5" t="n"/>
      <c r="T50" s="5" t="n"/>
      <c r="U50" s="5" t="n"/>
      <c r="V50" s="5" t="n"/>
      <c r="W50" s="5" t="n"/>
      <c r="X50" s="6" t="n"/>
      <c r="Y50" s="64" t="inlineStr">
        <is>
          <t>新しいOTPコードが送信され、新しいコードでログインできる。</t>
        </is>
      </c>
      <c r="Z50" s="5" t="n"/>
      <c r="AA50" s="5" t="n"/>
      <c r="AB50" s="5" t="n"/>
      <c r="AC50" s="5" t="n"/>
      <c r="AD50" s="6" t="n"/>
      <c r="AE50" s="65" t="inlineStr">
        <is>
          <t>B</t>
        </is>
      </c>
      <c r="AF50" s="6" t="n"/>
      <c r="AG50" s="65" t="n"/>
      <c r="AH50" s="6" t="n"/>
      <c r="AI50" s="65" t="n"/>
      <c r="AJ50" s="6" t="n"/>
      <c r="AK50" s="65" t="n"/>
      <c r="AL50" s="6" t="n"/>
      <c r="AM50" s="65" t="n"/>
      <c r="AN50" s="5" t="n"/>
      <c r="AO50" s="6" t="n"/>
      <c r="AP50" s="65" t="n"/>
      <c r="AQ50" s="6" t="n"/>
      <c r="AR50" s="64" t="n"/>
      <c r="AS50" s="5" t="n"/>
      <c r="AT50" s="6" t="n"/>
      <c r="AU50" s="65" t="n"/>
      <c r="AV50" s="6" t="n"/>
      <c r="AW50" s="65" t="n"/>
      <c r="AX50" s="6" t="n"/>
      <c r="AY50" s="65" t="n"/>
      <c r="AZ50" s="6" t="n"/>
      <c r="BA50" s="65" t="n"/>
      <c r="BB50" s="5" t="n"/>
      <c r="BC50" s="6" t="n"/>
      <c r="BD50" s="65" t="n"/>
      <c r="BE50" s="6" t="n"/>
      <c r="BF50" s="64" t="n"/>
      <c r="BG50" s="5" t="n"/>
      <c r="BH50" s="6" t="n"/>
      <c r="BI50" s="66" t="n"/>
      <c r="BJ50" s="5" t="n"/>
      <c r="BK50" s="40" t="n"/>
    </row>
    <row r="51" ht="120" customHeight="1">
      <c r="A51" s="59" t="inlineStr">
        <is>
          <t>UAT-WEB-045</t>
        </is>
      </c>
      <c r="B51" s="6" t="n"/>
      <c r="C51" s="60" t="inlineStr">
        <is>
          <t>テナント管理者</t>
        </is>
      </c>
      <c r="D51" s="5" t="n"/>
      <c r="E51" s="5" t="n"/>
      <c r="F51" s="6" t="n"/>
      <c r="G51" s="60" t="inlineStr">
        <is>
          <t>ログイン・セキュリティ</t>
        </is>
      </c>
      <c r="H51" s="5" t="n"/>
      <c r="I51" s="6" t="n"/>
      <c r="J51" s="60" t="inlineStr">
        <is>
          <t>パスワード変更成功</t>
        </is>
      </c>
      <c r="K51" s="5" t="n"/>
      <c r="L51" s="6" t="n"/>
      <c r="M51" s="60" t="inlineStr">
        <is>
          <t>任意のロールでログイン済み</t>
        </is>
      </c>
      <c r="N51" s="5" t="n"/>
      <c r="O51" s="5" t="n"/>
      <c r="P51" s="5" t="n"/>
      <c r="Q51" s="6" t="n"/>
      <c r="R51" s="60" t="inlineStr">
        <is>
          <t>① 右上のユーザー名をクリックし、「パスワード変更」をクリックする
② 現在のパスワードを入力する
③ 新しいパスワードを入力する（8文字以上、大文字・数字・特殊文字を含む）
④ 新しいパスワードを入力する（確認）を入力する
⑤ 「確認」をクリックする</t>
        </is>
      </c>
      <c r="S51" s="5" t="n"/>
      <c r="T51" s="5" t="n"/>
      <c r="U51" s="5" t="n"/>
      <c r="V51" s="5" t="n"/>
      <c r="W51" s="5" t="n"/>
      <c r="X51" s="6" t="n"/>
      <c r="Y51" s="60" t="inlineStr">
        <is>
          <t>パスワードが正常に更新され、新しいパスワードでログインできる。</t>
        </is>
      </c>
      <c r="Z51" s="5" t="n"/>
      <c r="AA51" s="5" t="n"/>
      <c r="AB51" s="5" t="n"/>
      <c r="AC51" s="5" t="n"/>
      <c r="AD51" s="6" t="n"/>
      <c r="AE51" s="61" t="inlineStr">
        <is>
          <t>N</t>
        </is>
      </c>
      <c r="AF51" s="6" t="n"/>
      <c r="AG51" s="61" t="n"/>
      <c r="AH51" s="6" t="n"/>
      <c r="AI51" s="61" t="n"/>
      <c r="AJ51" s="6" t="n"/>
      <c r="AK51" s="61" t="n"/>
      <c r="AL51" s="6" t="n"/>
      <c r="AM51" s="61" t="n"/>
      <c r="AN51" s="5" t="n"/>
      <c r="AO51" s="6" t="n"/>
      <c r="AP51" s="61" t="n"/>
      <c r="AQ51" s="6" t="n"/>
      <c r="AR51" s="60" t="n"/>
      <c r="AS51" s="5" t="n"/>
      <c r="AT51" s="6" t="n"/>
      <c r="AU51" s="61" t="n"/>
      <c r="AV51" s="6" t="n"/>
      <c r="AW51" s="61" t="n"/>
      <c r="AX51" s="6" t="n"/>
      <c r="AY51" s="61" t="n"/>
      <c r="AZ51" s="6" t="n"/>
      <c r="BA51" s="61" t="n"/>
      <c r="BB51" s="5" t="n"/>
      <c r="BC51" s="6" t="n"/>
      <c r="BD51" s="61" t="n"/>
      <c r="BE51" s="6" t="n"/>
      <c r="BF51" s="60" t="n"/>
      <c r="BG51" s="5" t="n"/>
      <c r="BH51" s="6" t="n"/>
      <c r="BI51" s="62" t="n"/>
      <c r="BJ51" s="5" t="n"/>
      <c r="BK51" s="40" t="n"/>
    </row>
    <row r="52" ht="60" customHeight="1">
      <c r="A52" s="63" t="inlineStr">
        <is>
          <t>UAT-WEB-046</t>
        </is>
      </c>
      <c r="B52" s="6" t="n"/>
      <c r="C52" s="64" t="inlineStr">
        <is>
          <t>テナント管理者</t>
        </is>
      </c>
      <c r="D52" s="5" t="n"/>
      <c r="E52" s="5" t="n"/>
      <c r="F52" s="6" t="n"/>
      <c r="G52" s="64" t="inlineStr">
        <is>
          <t>ログイン・セキュリティ</t>
        </is>
      </c>
      <c r="H52" s="5" t="n"/>
      <c r="I52" s="6" t="n"/>
      <c r="J52" s="64" t="inlineStr">
        <is>
          <t>パスワード変更失敗 — 新しいパスワードが条件を満たさない</t>
        </is>
      </c>
      <c r="K52" s="5" t="n"/>
      <c r="L52" s="6" t="n"/>
      <c r="M52" s="64" t="inlineStr">
        <is>
          <t>ログイン済み</t>
        </is>
      </c>
      <c r="N52" s="5" t="n"/>
      <c r="O52" s="5" t="n"/>
      <c r="P52" s="5" t="n"/>
      <c r="Q52" s="6" t="n"/>
      <c r="R52" s="64" t="inlineStr">
        <is>
          <t>① 「パスワード変更」をクリックする
② 小文字のみの新しいパスワードを入力する（大文字・数字・特殊文字を含まない）
③ 「確認」をクリックする</t>
        </is>
      </c>
      <c r="S52" s="5" t="n"/>
      <c r="T52" s="5" t="n"/>
      <c r="U52" s="5" t="n"/>
      <c r="V52" s="5" t="n"/>
      <c r="W52" s="5" t="n"/>
      <c r="X52" s="6" t="n"/>
      <c r="Y52" s="64" t="inlineStr">
        <is>
          <t>バリデーションエラーが表示され、パスワードは更新されない。</t>
        </is>
      </c>
      <c r="Z52" s="5" t="n"/>
      <c r="AA52" s="5" t="n"/>
      <c r="AB52" s="5" t="n"/>
      <c r="AC52" s="5" t="n"/>
      <c r="AD52" s="6" t="n"/>
      <c r="AE52" s="65" t="inlineStr">
        <is>
          <t>A</t>
        </is>
      </c>
      <c r="AF52" s="6" t="n"/>
      <c r="AG52" s="65" t="n"/>
      <c r="AH52" s="6" t="n"/>
      <c r="AI52" s="65" t="n"/>
      <c r="AJ52" s="6" t="n"/>
      <c r="AK52" s="65" t="n"/>
      <c r="AL52" s="6" t="n"/>
      <c r="AM52" s="65" t="n"/>
      <c r="AN52" s="5" t="n"/>
      <c r="AO52" s="6" t="n"/>
      <c r="AP52" s="65" t="n"/>
      <c r="AQ52" s="6" t="n"/>
      <c r="AR52" s="64" t="n"/>
      <c r="AS52" s="5" t="n"/>
      <c r="AT52" s="6" t="n"/>
      <c r="AU52" s="65" t="n"/>
      <c r="AV52" s="6" t="n"/>
      <c r="AW52" s="65" t="n"/>
      <c r="AX52" s="6" t="n"/>
      <c r="AY52" s="65" t="n"/>
      <c r="AZ52" s="6" t="n"/>
      <c r="BA52" s="65" t="n"/>
      <c r="BB52" s="5" t="n"/>
      <c r="BC52" s="6" t="n"/>
      <c r="BD52" s="65" t="n"/>
      <c r="BE52" s="6" t="n"/>
      <c r="BF52" s="64" t="n"/>
      <c r="BG52" s="5" t="n"/>
      <c r="BH52" s="6" t="n"/>
      <c r="BI52" s="66" t="n"/>
      <c r="BJ52" s="5" t="n"/>
      <c r="BK52" s="40" t="n"/>
    </row>
    <row r="53" ht="120" customHeight="1">
      <c r="A53" s="59" t="inlineStr">
        <is>
          <t>UAT-WEB-047</t>
        </is>
      </c>
      <c r="B53" s="6" t="n"/>
      <c r="C53" s="60" t="inlineStr">
        <is>
          <t>テナント管理者</t>
        </is>
      </c>
      <c r="D53" s="5" t="n"/>
      <c r="E53" s="5" t="n"/>
      <c r="F53" s="6" t="n"/>
      <c r="G53" s="60" t="inlineStr">
        <is>
          <t>ログイン・セキュリティ</t>
        </is>
      </c>
      <c r="H53" s="5" t="n"/>
      <c r="I53" s="6" t="n"/>
      <c r="J53" s="60" t="inlineStr">
        <is>
          <t>メールOTPによるパスワード復旧</t>
        </is>
      </c>
      <c r="K53" s="5" t="n"/>
      <c r="L53" s="6" t="n"/>
      <c r="M53" s="60" t="inlineStr">
        <is>
          <t>システム内にアカウントが存在する</t>
        </is>
      </c>
      <c r="N53" s="5" t="n"/>
      <c r="O53" s="5" t="n"/>
      <c r="P53" s="5" t="n"/>
      <c r="Q53" s="6" t="n"/>
      <c r="R53" s="60" t="inlineStr">
        <is>
          <t>① 「パスワードをお忘れの方」をクリックする
② 登録済みメールアドレスを入力する
③ 「送信」をクリックする
④ 新しいパスワードを入力する
⑤ 「コード送信」をクリックする
⑥ メールで受信したOTPを入力し、「確認」をクリックする</t>
        </is>
      </c>
      <c r="S53" s="5" t="n"/>
      <c r="T53" s="5" t="n"/>
      <c r="U53" s="5" t="n"/>
      <c r="V53" s="5" t="n"/>
      <c r="W53" s="5" t="n"/>
      <c r="X53" s="6" t="n"/>
      <c r="Y53" s="60" t="inlineStr">
        <is>
          <t>パスワードが正常に再設定され、新しいパスワードでログインできる。</t>
        </is>
      </c>
      <c r="Z53" s="5" t="n"/>
      <c r="AA53" s="5" t="n"/>
      <c r="AB53" s="5" t="n"/>
      <c r="AC53" s="5" t="n"/>
      <c r="AD53" s="6" t="n"/>
      <c r="AE53" s="61" t="inlineStr">
        <is>
          <t>N</t>
        </is>
      </c>
      <c r="AF53" s="6" t="n"/>
      <c r="AG53" s="61" t="n"/>
      <c r="AH53" s="6" t="n"/>
      <c r="AI53" s="61" t="n"/>
      <c r="AJ53" s="6" t="n"/>
      <c r="AK53" s="61" t="n"/>
      <c r="AL53" s="6" t="n"/>
      <c r="AM53" s="61" t="n"/>
      <c r="AN53" s="5" t="n"/>
      <c r="AO53" s="6" t="n"/>
      <c r="AP53" s="61" t="n"/>
      <c r="AQ53" s="6" t="n"/>
      <c r="AR53" s="60" t="n"/>
      <c r="AS53" s="5" t="n"/>
      <c r="AT53" s="6" t="n"/>
      <c r="AU53" s="61" t="n"/>
      <c r="AV53" s="6" t="n"/>
      <c r="AW53" s="61" t="n"/>
      <c r="AX53" s="6" t="n"/>
      <c r="AY53" s="61" t="n"/>
      <c r="AZ53" s="6" t="n"/>
      <c r="BA53" s="61" t="n"/>
      <c r="BB53" s="5" t="n"/>
      <c r="BC53" s="6" t="n"/>
      <c r="BD53" s="61" t="n"/>
      <c r="BE53" s="6" t="n"/>
      <c r="BF53" s="60" t="n"/>
      <c r="BG53" s="5" t="n"/>
      <c r="BH53" s="6" t="n"/>
      <c r="BI53" s="62" t="n"/>
      <c r="BJ53" s="5" t="n"/>
      <c r="BK53" s="40" t="n"/>
    </row>
    <row r="54" ht="60" customHeight="1">
      <c r="A54" s="63" t="inlineStr">
        <is>
          <t>UAT-WEB-048</t>
        </is>
      </c>
      <c r="B54" s="6" t="n"/>
      <c r="C54" s="64" t="inlineStr">
        <is>
          <t>テナント管理者</t>
        </is>
      </c>
      <c r="D54" s="5" t="n"/>
      <c r="E54" s="5" t="n"/>
      <c r="F54" s="6" t="n"/>
      <c r="G54" s="64" t="inlineStr">
        <is>
          <t>ログイン・セキュリティ</t>
        </is>
      </c>
      <c r="H54" s="5" t="n"/>
      <c r="I54" s="6" t="n"/>
      <c r="J54" s="64" t="inlineStr">
        <is>
          <t>5回連続ログイン失敗</t>
        </is>
      </c>
      <c r="K54" s="5" t="n"/>
      <c r="L54" s="6" t="n"/>
      <c r="M54" s="64" t="inlineStr">
        <is>
          <t>システム内に有効なアカウントが存在する</t>
        </is>
      </c>
      <c r="N54" s="5" t="n"/>
      <c r="O54" s="5" t="n"/>
      <c r="P54" s="5" t="n"/>
      <c r="Q54" s="6" t="n"/>
      <c r="R54" s="64" t="inlineStr">
        <is>
          <t>① 正しいメールアドレスと誤ったパスワードを入力する
② 5回連続で実行する
③ 「ログイン」をクリックする</t>
        </is>
      </c>
      <c r="S54" s="5" t="n"/>
      <c r="T54" s="5" t="n"/>
      <c r="U54" s="5" t="n"/>
      <c r="V54" s="5" t="n"/>
      <c r="W54" s="5" t="n"/>
      <c r="X54" s="6" t="n"/>
      <c r="Y54" s="64" t="inlineStr">
        <is>
          <t>5回連続で誤入力するとアカウントがロックされる。
パスワード再設定機能でパスワードを再設定する。</t>
        </is>
      </c>
      <c r="Z54" s="5" t="n"/>
      <c r="AA54" s="5" t="n"/>
      <c r="AB54" s="5" t="n"/>
      <c r="AC54" s="5" t="n"/>
      <c r="AD54" s="6" t="n"/>
      <c r="AE54" s="65" t="inlineStr">
        <is>
          <t>N</t>
        </is>
      </c>
      <c r="AF54" s="6" t="n"/>
      <c r="AG54" s="65" t="n"/>
      <c r="AH54" s="6" t="n"/>
      <c r="AI54" s="65" t="n"/>
      <c r="AJ54" s="6" t="n"/>
      <c r="AK54" s="65" t="n"/>
      <c r="AL54" s="6" t="n"/>
      <c r="AM54" s="65" t="n"/>
      <c r="AN54" s="5" t="n"/>
      <c r="AO54" s="6" t="n"/>
      <c r="AP54" s="65" t="n"/>
      <c r="AQ54" s="6" t="n"/>
      <c r="AR54" s="64" t="n"/>
      <c r="AS54" s="5" t="n"/>
      <c r="AT54" s="6" t="n"/>
      <c r="AU54" s="65" t="n"/>
      <c r="AV54" s="6" t="n"/>
      <c r="AW54" s="65" t="n"/>
      <c r="AX54" s="6" t="n"/>
      <c r="AY54" s="65" t="n"/>
      <c r="AZ54" s="6" t="n"/>
      <c r="BA54" s="65" t="n"/>
      <c r="BB54" s="5" t="n"/>
      <c r="BC54" s="6" t="n"/>
      <c r="BD54" s="65" t="n"/>
      <c r="BE54" s="6" t="n"/>
      <c r="BF54" s="64" t="n"/>
      <c r="BG54" s="5" t="n"/>
      <c r="BH54" s="6" t="n"/>
      <c r="BI54" s="66" t="n"/>
      <c r="BJ54" s="5" t="n"/>
      <c r="BK54" s="40" t="n"/>
    </row>
    <row r="55" ht="60" customHeight="1">
      <c r="A55" s="59" t="inlineStr">
        <is>
          <t>UAT-WEB-049</t>
        </is>
      </c>
      <c r="B55" s="6" t="n"/>
      <c r="C55" s="60" t="inlineStr">
        <is>
          <t>テナント管理者</t>
        </is>
      </c>
      <c r="D55" s="5" t="n"/>
      <c r="E55" s="5" t="n"/>
      <c r="F55" s="6" t="n"/>
      <c r="G55" s="60" t="inlineStr">
        <is>
          <t>ログイン・セキュリティ</t>
        </is>
      </c>
      <c r="H55" s="5" t="n"/>
      <c r="I55" s="6" t="n"/>
      <c r="J55" s="60" t="inlineStr">
        <is>
          <t>OTPコードを5回連続で誤入力する</t>
        </is>
      </c>
      <c r="K55" s="5" t="n"/>
      <c r="L55" s="6" t="n"/>
      <c r="M55" s="60" t="inlineStr">
        <is>
          <t>システム内に有効なアカウントが存在する</t>
        </is>
      </c>
      <c r="N55" s="5" t="n"/>
      <c r="O55" s="5" t="n"/>
      <c r="P55" s="5" t="n"/>
      <c r="Q55" s="6" t="n"/>
      <c r="R55" s="60" t="inlineStr">
        <is>
          <t>① 有効なメールアドレスとパスワードを入力する
② 「ログイン」ボタンをクリックする
③ 誤ったOTPコードを5回連続で入力する</t>
        </is>
      </c>
      <c r="S55" s="5" t="n"/>
      <c r="T55" s="5" t="n"/>
      <c r="U55" s="5" t="n"/>
      <c r="V55" s="5" t="n"/>
      <c r="W55" s="5" t="n"/>
      <c r="X55" s="6" t="n"/>
      <c r="Y55" s="60" t="inlineStr">
        <is>
          <t>「認証ワンタイムパスワードが正しくありません。」というエラーが表示される。
システムへログインできない。</t>
        </is>
      </c>
      <c r="Z55" s="5" t="n"/>
      <c r="AA55" s="5" t="n"/>
      <c r="AB55" s="5" t="n"/>
      <c r="AC55" s="5" t="n"/>
      <c r="AD55" s="6" t="n"/>
      <c r="AE55" s="61" t="inlineStr">
        <is>
          <t>N</t>
        </is>
      </c>
      <c r="AF55" s="6" t="n"/>
      <c r="AG55" s="61" t="n"/>
      <c r="AH55" s="6" t="n"/>
      <c r="AI55" s="61" t="n"/>
      <c r="AJ55" s="6" t="n"/>
      <c r="AK55" s="61" t="n"/>
      <c r="AL55" s="6" t="n"/>
      <c r="AM55" s="61" t="n"/>
      <c r="AN55" s="5" t="n"/>
      <c r="AO55" s="6" t="n"/>
      <c r="AP55" s="61" t="n"/>
      <c r="AQ55" s="6" t="n"/>
      <c r="AR55" s="60" t="n"/>
      <c r="AS55" s="5" t="n"/>
      <c r="AT55" s="6" t="n"/>
      <c r="AU55" s="61" t="n"/>
      <c r="AV55" s="6" t="n"/>
      <c r="AW55" s="61" t="n"/>
      <c r="AX55" s="6" t="n"/>
      <c r="AY55" s="61" t="n"/>
      <c r="AZ55" s="6" t="n"/>
      <c r="BA55" s="61" t="n"/>
      <c r="BB55" s="5" t="n"/>
      <c r="BC55" s="6" t="n"/>
      <c r="BD55" s="61" t="n"/>
      <c r="BE55" s="6" t="n"/>
      <c r="BF55" s="60" t="n"/>
      <c r="BG55" s="5" t="n"/>
      <c r="BH55" s="6" t="n"/>
      <c r="BI55" s="62" t="n"/>
      <c r="BJ55" s="5" t="n"/>
      <c r="BK55" s="40" t="n"/>
    </row>
    <row r="56" ht="45" customHeight="1">
      <c r="A56" s="63" t="inlineStr">
        <is>
          <t>UAT-WEB-050</t>
        </is>
      </c>
      <c r="B56" s="6" t="n"/>
      <c r="C56" s="64" t="inlineStr">
        <is>
          <t>テナント管理者</t>
        </is>
      </c>
      <c r="D56" s="5" t="n"/>
      <c r="E56" s="5" t="n"/>
      <c r="F56" s="6" t="n"/>
      <c r="G56" s="64" t="inlineStr">
        <is>
          <t>ユーザー管理</t>
        </is>
      </c>
      <c r="H56" s="5" t="n"/>
      <c r="I56" s="6" t="n"/>
      <c r="J56" s="64" t="inlineStr">
        <is>
          <t>ログイン後のユーザー一覧表示</t>
        </is>
      </c>
      <c r="K56" s="5" t="n"/>
      <c r="L56" s="6" t="n"/>
      <c r="M56" s="64" t="inlineStr">
        <is>
          <t>テナント管理者でログイン 成功</t>
        </is>
      </c>
      <c r="N56" s="5" t="n"/>
      <c r="O56" s="5" t="n"/>
      <c r="P56" s="5" t="n"/>
      <c r="Q56" s="6" t="n"/>
      <c r="R56" s="64" t="inlineStr">
        <is>
          <t>① ログイン成功後</t>
        </is>
      </c>
      <c r="S56" s="5" t="n"/>
      <c r="T56" s="5" t="n"/>
      <c r="U56" s="5" t="n"/>
      <c r="V56" s="5" t="n"/>
      <c r="W56" s="5" t="n"/>
      <c r="X56" s="6" t="n"/>
      <c r="Y56" s="64" t="inlineStr">
        <is>
          <t>ユーザー一覧画面へ自動遷移し、自テナントのユーザー一覧が正しく表示される。</t>
        </is>
      </c>
      <c r="Z56" s="5" t="n"/>
      <c r="AA56" s="5" t="n"/>
      <c r="AB56" s="5" t="n"/>
      <c r="AC56" s="5" t="n"/>
      <c r="AD56" s="6" t="n"/>
      <c r="AE56" s="65" t="inlineStr">
        <is>
          <t>N</t>
        </is>
      </c>
      <c r="AF56" s="6" t="n"/>
      <c r="AG56" s="65" t="n"/>
      <c r="AH56" s="6" t="n"/>
      <c r="AI56" s="65" t="n"/>
      <c r="AJ56" s="6" t="n"/>
      <c r="AK56" s="65" t="n"/>
      <c r="AL56" s="6" t="n"/>
      <c r="AM56" s="65" t="n"/>
      <c r="AN56" s="5" t="n"/>
      <c r="AO56" s="6" t="n"/>
      <c r="AP56" s="65" t="n"/>
      <c r="AQ56" s="6" t="n"/>
      <c r="AR56" s="64" t="n"/>
      <c r="AS56" s="5" t="n"/>
      <c r="AT56" s="6" t="n"/>
      <c r="AU56" s="65" t="n"/>
      <c r="AV56" s="6" t="n"/>
      <c r="AW56" s="65" t="n"/>
      <c r="AX56" s="6" t="n"/>
      <c r="AY56" s="65" t="n"/>
      <c r="AZ56" s="6" t="n"/>
      <c r="BA56" s="65" t="n"/>
      <c r="BB56" s="5" t="n"/>
      <c r="BC56" s="6" t="n"/>
      <c r="BD56" s="65" t="n"/>
      <c r="BE56" s="6" t="n"/>
      <c r="BF56" s="64" t="n"/>
      <c r="BG56" s="5" t="n"/>
      <c r="BH56" s="6" t="n"/>
      <c r="BI56" s="66" t="n"/>
      <c r="BJ56" s="5" t="n"/>
      <c r="BK56" s="40" t="n"/>
    </row>
    <row r="57" ht="45" customHeight="1">
      <c r="A57" s="59" t="inlineStr">
        <is>
          <t>UAT-WEB-051</t>
        </is>
      </c>
      <c r="B57" s="6" t="n"/>
      <c r="C57" s="60" t="inlineStr">
        <is>
          <t>テナント管理者</t>
        </is>
      </c>
      <c r="D57" s="5" t="n"/>
      <c r="E57" s="5" t="n"/>
      <c r="F57" s="6" t="n"/>
      <c r="G57" s="60" t="inlineStr">
        <is>
          <t>ユーザー管理</t>
        </is>
      </c>
      <c r="H57" s="5" t="n"/>
      <c r="I57" s="6" t="n"/>
      <c r="J57" s="60" t="inlineStr">
        <is>
          <t>メールアドレスでユーザーを検索</t>
        </is>
      </c>
      <c r="K57" s="5" t="n"/>
      <c r="L57" s="6" t="n"/>
      <c r="M57" s="60" t="inlineStr">
        <is>
          <t>テナント内に少なくとも2名のユーザーが存在する</t>
        </is>
      </c>
      <c r="N57" s="5" t="n"/>
      <c r="O57" s="5" t="n"/>
      <c r="P57" s="5" t="n"/>
      <c r="Q57" s="6" t="n"/>
      <c r="R57" s="60" t="inlineStr">
        <is>
          <t>① 検索欄にメールアドレスの一部を入力する
② 「検索」をクリックする</t>
        </is>
      </c>
      <c r="S57" s="5" t="n"/>
      <c r="T57" s="5" t="n"/>
      <c r="U57" s="5" t="n"/>
      <c r="V57" s="5" t="n"/>
      <c r="W57" s="5" t="n"/>
      <c r="X57" s="6" t="n"/>
      <c r="Y57" s="60" t="inlineStr">
        <is>
          <t>一致するメールアドレスのユーザーのみ一覧に表示され、他ユーザーは除外される。</t>
        </is>
      </c>
      <c r="Z57" s="5" t="n"/>
      <c r="AA57" s="5" t="n"/>
      <c r="AB57" s="5" t="n"/>
      <c r="AC57" s="5" t="n"/>
      <c r="AD57" s="6" t="n"/>
      <c r="AE57" s="61" t="inlineStr">
        <is>
          <t>N</t>
        </is>
      </c>
      <c r="AF57" s="6" t="n"/>
      <c r="AG57" s="61" t="n"/>
      <c r="AH57" s="6" t="n"/>
      <c r="AI57" s="61" t="n"/>
      <c r="AJ57" s="6" t="n"/>
      <c r="AK57" s="61" t="n"/>
      <c r="AL57" s="6" t="n"/>
      <c r="AM57" s="61" t="n"/>
      <c r="AN57" s="5" t="n"/>
      <c r="AO57" s="6" t="n"/>
      <c r="AP57" s="61" t="n"/>
      <c r="AQ57" s="6" t="n"/>
      <c r="AR57" s="60" t="n"/>
      <c r="AS57" s="5" t="n"/>
      <c r="AT57" s="6" t="n"/>
      <c r="AU57" s="61" t="n"/>
      <c r="AV57" s="6" t="n"/>
      <c r="AW57" s="61" t="n"/>
      <c r="AX57" s="6" t="n"/>
      <c r="AY57" s="61" t="n"/>
      <c r="AZ57" s="6" t="n"/>
      <c r="BA57" s="61" t="n"/>
      <c r="BB57" s="5" t="n"/>
      <c r="BC57" s="6" t="n"/>
      <c r="BD57" s="61" t="n"/>
      <c r="BE57" s="6" t="n"/>
      <c r="BF57" s="60" t="n"/>
      <c r="BG57" s="5" t="n"/>
      <c r="BH57" s="6" t="n"/>
      <c r="BI57" s="62" t="n"/>
      <c r="BJ57" s="5" t="n"/>
      <c r="BK57" s="40" t="n"/>
    </row>
    <row r="58" ht="30" customHeight="1">
      <c r="A58" s="63" t="inlineStr">
        <is>
          <t>UAT-WEB-052</t>
        </is>
      </c>
      <c r="B58" s="6" t="n"/>
      <c r="C58" s="64" t="inlineStr">
        <is>
          <t>テナント管理者</t>
        </is>
      </c>
      <c r="D58" s="5" t="n"/>
      <c r="E58" s="5" t="n"/>
      <c r="F58" s="6" t="n"/>
      <c r="G58" s="64" t="inlineStr">
        <is>
          <t>ユーザー管理</t>
        </is>
      </c>
      <c r="H58" s="5" t="n"/>
      <c r="I58" s="6" t="n"/>
      <c r="J58" s="64" t="inlineStr">
        <is>
          <t>氏名でユーザーを検索</t>
        </is>
      </c>
      <c r="K58" s="5" t="n"/>
      <c r="L58" s="6" t="n"/>
      <c r="M58" s="64" t="inlineStr">
        <is>
          <t>名前の異なるユーザーが少なくとも2名存在する</t>
        </is>
      </c>
      <c r="N58" s="5" t="n"/>
      <c r="O58" s="5" t="n"/>
      <c r="P58" s="5" t="n"/>
      <c r="Q58" s="6" t="n"/>
      <c r="R58" s="64" t="inlineStr">
        <is>
          <t>① 氏名欄に氏名を入力する
② 「検索」をクリックする</t>
        </is>
      </c>
      <c r="S58" s="5" t="n"/>
      <c r="T58" s="5" t="n"/>
      <c r="U58" s="5" t="n"/>
      <c r="V58" s="5" t="n"/>
      <c r="W58" s="5" t="n"/>
      <c r="X58" s="6" t="n"/>
      <c r="Y58" s="64" t="inlineStr">
        <is>
          <t>大文字小文字を区別して、名前に基づく正しい絞り込み結果が表示される。</t>
        </is>
      </c>
      <c r="Z58" s="5" t="n"/>
      <c r="AA58" s="5" t="n"/>
      <c r="AB58" s="5" t="n"/>
      <c r="AC58" s="5" t="n"/>
      <c r="AD58" s="6" t="n"/>
      <c r="AE58" s="65" t="inlineStr">
        <is>
          <t>N</t>
        </is>
      </c>
      <c r="AF58" s="6" t="n"/>
      <c r="AG58" s="65" t="n"/>
      <c r="AH58" s="6" t="n"/>
      <c r="AI58" s="65" t="n"/>
      <c r="AJ58" s="6" t="n"/>
      <c r="AK58" s="65" t="n"/>
      <c r="AL58" s="6" t="n"/>
      <c r="AM58" s="65" t="n"/>
      <c r="AN58" s="5" t="n"/>
      <c r="AO58" s="6" t="n"/>
      <c r="AP58" s="65" t="n"/>
      <c r="AQ58" s="6" t="n"/>
      <c r="AR58" s="64" t="n"/>
      <c r="AS58" s="5" t="n"/>
      <c r="AT58" s="6" t="n"/>
      <c r="AU58" s="65" t="n"/>
      <c r="AV58" s="6" t="n"/>
      <c r="AW58" s="65" t="n"/>
      <c r="AX58" s="6" t="n"/>
      <c r="AY58" s="65" t="n"/>
      <c r="AZ58" s="6" t="n"/>
      <c r="BA58" s="65" t="n"/>
      <c r="BB58" s="5" t="n"/>
      <c r="BC58" s="6" t="n"/>
      <c r="BD58" s="65" t="n"/>
      <c r="BE58" s="6" t="n"/>
      <c r="BF58" s="64" t="n"/>
      <c r="BG58" s="5" t="n"/>
      <c r="BH58" s="6" t="n"/>
      <c r="BI58" s="66" t="n"/>
      <c r="BJ58" s="5" t="n"/>
      <c r="BK58" s="40" t="n"/>
    </row>
    <row r="59" ht="45" customHeight="1">
      <c r="A59" s="59" t="inlineStr">
        <is>
          <t>UAT-WEB-053</t>
        </is>
      </c>
      <c r="B59" s="6" t="n"/>
      <c r="C59" s="60" t="inlineStr">
        <is>
          <t>テナント管理者</t>
        </is>
      </c>
      <c r="D59" s="5" t="n"/>
      <c r="E59" s="5" t="n"/>
      <c r="F59" s="6" t="n"/>
      <c r="G59" s="60" t="inlineStr">
        <is>
          <t>ユーザー管理</t>
        </is>
      </c>
      <c r="H59" s="5" t="n"/>
      <c r="I59" s="6" t="n"/>
      <c r="J59" s="60" t="inlineStr">
        <is>
          <t>「利用中」状態でユーザーを絞り込む</t>
        </is>
      </c>
      <c r="K59" s="5" t="n"/>
      <c r="L59" s="6" t="n"/>
      <c r="M59" s="60" t="inlineStr">
        <is>
          <t>複数の状態のユーザーが存在する</t>
        </is>
      </c>
      <c r="N59" s="5" t="n"/>
      <c r="O59" s="5" t="n"/>
      <c r="P59" s="5" t="n"/>
      <c r="Q59" s="6" t="n"/>
      <c r="R59" s="60" t="inlineStr">
        <is>
          <t>① ドロップダウンで「利用中」状態を選択する
② 「検索」をクリックする</t>
        </is>
      </c>
      <c r="S59" s="5" t="n"/>
      <c r="T59" s="5" t="n"/>
      <c r="U59" s="5" t="n"/>
      <c r="V59" s="5" t="n"/>
      <c r="W59" s="5" t="n"/>
      <c r="X59" s="6" t="n"/>
      <c r="Y59" s="60" t="inlineStr">
        <is>
          <t>「利用中」状態のユーザーのみ表示される。</t>
        </is>
      </c>
      <c r="Z59" s="5" t="n"/>
      <c r="AA59" s="5" t="n"/>
      <c r="AB59" s="5" t="n"/>
      <c r="AC59" s="5" t="n"/>
      <c r="AD59" s="6" t="n"/>
      <c r="AE59" s="61" t="inlineStr">
        <is>
          <t>N</t>
        </is>
      </c>
      <c r="AF59" s="6" t="n"/>
      <c r="AG59" s="61" t="n"/>
      <c r="AH59" s="6" t="n"/>
      <c r="AI59" s="61" t="n"/>
      <c r="AJ59" s="6" t="n"/>
      <c r="AK59" s="61" t="n"/>
      <c r="AL59" s="6" t="n"/>
      <c r="AM59" s="61" t="n"/>
      <c r="AN59" s="5" t="n"/>
      <c r="AO59" s="6" t="n"/>
      <c r="AP59" s="61" t="n"/>
      <c r="AQ59" s="6" t="n"/>
      <c r="AR59" s="60" t="n"/>
      <c r="AS59" s="5" t="n"/>
      <c r="AT59" s="6" t="n"/>
      <c r="AU59" s="61" t="n"/>
      <c r="AV59" s="6" t="n"/>
      <c r="AW59" s="61" t="n"/>
      <c r="AX59" s="6" t="n"/>
      <c r="AY59" s="61" t="n"/>
      <c r="AZ59" s="6" t="n"/>
      <c r="BA59" s="61" t="n"/>
      <c r="BB59" s="5" t="n"/>
      <c r="BC59" s="6" t="n"/>
      <c r="BD59" s="61" t="n"/>
      <c r="BE59" s="6" t="n"/>
      <c r="BF59" s="60" t="n"/>
      <c r="BG59" s="5" t="n"/>
      <c r="BH59" s="6" t="n"/>
      <c r="BI59" s="62" t="n"/>
      <c r="BJ59" s="5" t="n"/>
      <c r="BK59" s="40" t="n"/>
    </row>
    <row r="60" ht="75" customHeight="1">
      <c r="A60" s="63" t="inlineStr">
        <is>
          <t>UAT-WEB-054</t>
        </is>
      </c>
      <c r="B60" s="6" t="n"/>
      <c r="C60" s="64" t="inlineStr">
        <is>
          <t>テナント管理者</t>
        </is>
      </c>
      <c r="D60" s="5" t="n"/>
      <c r="E60" s="5" t="n"/>
      <c r="F60" s="6" t="n"/>
      <c r="G60" s="64" t="inlineStr">
        <is>
          <t>ユーザー管理</t>
        </is>
      </c>
      <c r="H60" s="5" t="n"/>
      <c r="I60" s="6" t="n"/>
      <c r="J60" s="64" t="inlineStr">
        <is>
          <t>新規ユーザー追加成功（MVE API成功）</t>
        </is>
      </c>
      <c r="K60" s="5" t="n"/>
      <c r="L60" s="6" t="n"/>
      <c r="M60" s="64" t="inlineStr">
        <is>
          <t>MVEにライセンス残数がある</t>
        </is>
      </c>
      <c r="N60" s="5" t="n"/>
      <c r="O60" s="5" t="n"/>
      <c r="P60" s="5" t="n"/>
      <c r="Q60" s="6" t="n"/>
      <c r="R60" s="64" t="inlineStr">
        <is>
          <t>① 「ユーザー追加」をクリックする
② 未登録のメールアドレス、姓、名、姓カナ、名カナ、有効な内線番号SIPを入力する
③ 「保存」をクリックする→「OK」をクリックする</t>
        </is>
      </c>
      <c r="S60" s="5" t="n"/>
      <c r="T60" s="5" t="n"/>
      <c r="U60" s="5" t="n"/>
      <c r="V60" s="5" t="n"/>
      <c r="W60" s="5" t="n"/>
      <c r="X60" s="6" t="n"/>
      <c r="Y60" s="64" t="inlineStr">
        <is>
          <t>MVE APIがOKの場合、ユーザーは「登録済み」状態で作成される。
APIエラーの場合、ユーザーは「登録待ち」状態で作成される。</t>
        </is>
      </c>
      <c r="Z60" s="5" t="n"/>
      <c r="AA60" s="5" t="n"/>
      <c r="AB60" s="5" t="n"/>
      <c r="AC60" s="5" t="n"/>
      <c r="AD60" s="6" t="n"/>
      <c r="AE60" s="65" t="inlineStr">
        <is>
          <t>N</t>
        </is>
      </c>
      <c r="AF60" s="6" t="n"/>
      <c r="AG60" s="65" t="n"/>
      <c r="AH60" s="6" t="n"/>
      <c r="AI60" s="65" t="n"/>
      <c r="AJ60" s="6" t="n"/>
      <c r="AK60" s="65" t="n"/>
      <c r="AL60" s="6" t="n"/>
      <c r="AM60" s="65" t="n"/>
      <c r="AN60" s="5" t="n"/>
      <c r="AO60" s="6" t="n"/>
      <c r="AP60" s="65" t="n"/>
      <c r="AQ60" s="6" t="n"/>
      <c r="AR60" s="64" t="n"/>
      <c r="AS60" s="5" t="n"/>
      <c r="AT60" s="6" t="n"/>
      <c r="AU60" s="65" t="n"/>
      <c r="AV60" s="6" t="n"/>
      <c r="AW60" s="65" t="n"/>
      <c r="AX60" s="6" t="n"/>
      <c r="AY60" s="65" t="n"/>
      <c r="AZ60" s="6" t="n"/>
      <c r="BA60" s="65" t="n"/>
      <c r="BB60" s="5" t="n"/>
      <c r="BC60" s="6" t="n"/>
      <c r="BD60" s="65" t="n"/>
      <c r="BE60" s="6" t="n"/>
      <c r="BF60" s="64" t="n"/>
      <c r="BG60" s="5" t="n"/>
      <c r="BH60" s="6" t="n"/>
      <c r="BI60" s="66" t="n"/>
      <c r="BJ60" s="5" t="n"/>
      <c r="BK60" s="40" t="n"/>
    </row>
    <row r="61" ht="45" customHeight="1">
      <c r="A61" s="59" t="inlineStr">
        <is>
          <t>UAT-WEB-055</t>
        </is>
      </c>
      <c r="B61" s="6" t="n"/>
      <c r="C61" s="60" t="inlineStr">
        <is>
          <t>テナント管理者</t>
        </is>
      </c>
      <c r="D61" s="5" t="n"/>
      <c r="E61" s="5" t="n"/>
      <c r="F61" s="6" t="n"/>
      <c r="G61" s="60" t="inlineStr">
        <is>
          <t>ユーザー管理</t>
        </is>
      </c>
      <c r="H61" s="5" t="n"/>
      <c r="I61" s="6" t="n"/>
      <c r="J61" s="60" t="inlineStr">
        <is>
          <t>ユーザー追加失敗 — メールアドレスがシステム内に既に存在</t>
        </is>
      </c>
      <c r="K61" s="5" t="n"/>
      <c r="L61" s="6" t="n"/>
      <c r="M61" s="60" t="inlineStr">
        <is>
          <t>使用したいメールアドレスがシステム全体で別ユーザーに使用済み</t>
        </is>
      </c>
      <c r="N61" s="5" t="n"/>
      <c r="O61" s="5" t="n"/>
      <c r="P61" s="5" t="n"/>
      <c r="Q61" s="6" t="n"/>
      <c r="R61" s="60" t="inlineStr">
        <is>
          <t>① 「ユーザー追加」をクリックする
② 既存のメールアドレスを入力する
③ 「保存」をクリックする</t>
        </is>
      </c>
      <c r="S61" s="5" t="n"/>
      <c r="T61" s="5" t="n"/>
      <c r="U61" s="5" t="n"/>
      <c r="V61" s="5" t="n"/>
      <c r="W61" s="5" t="n"/>
      <c r="X61" s="6" t="n"/>
      <c r="Y61" s="60" t="inlineStr">
        <is>
          <t>メールアドレス重複エラーが表示され、ユーザーは作成されない。</t>
        </is>
      </c>
      <c r="Z61" s="5" t="n"/>
      <c r="AA61" s="5" t="n"/>
      <c r="AB61" s="5" t="n"/>
      <c r="AC61" s="5" t="n"/>
      <c r="AD61" s="6" t="n"/>
      <c r="AE61" s="61" t="inlineStr">
        <is>
          <t>A</t>
        </is>
      </c>
      <c r="AF61" s="6" t="n"/>
      <c r="AG61" s="61" t="n"/>
      <c r="AH61" s="6" t="n"/>
      <c r="AI61" s="61" t="n"/>
      <c r="AJ61" s="6" t="n"/>
      <c r="AK61" s="61" t="n"/>
      <c r="AL61" s="6" t="n"/>
      <c r="AM61" s="61" t="n"/>
      <c r="AN61" s="5" t="n"/>
      <c r="AO61" s="6" t="n"/>
      <c r="AP61" s="61" t="n"/>
      <c r="AQ61" s="6" t="n"/>
      <c r="AR61" s="60" t="n"/>
      <c r="AS61" s="5" t="n"/>
      <c r="AT61" s="6" t="n"/>
      <c r="AU61" s="61" t="n"/>
      <c r="AV61" s="6" t="n"/>
      <c r="AW61" s="61" t="n"/>
      <c r="AX61" s="6" t="n"/>
      <c r="AY61" s="61" t="n"/>
      <c r="AZ61" s="6" t="n"/>
      <c r="BA61" s="61" t="n"/>
      <c r="BB61" s="5" t="n"/>
      <c r="BC61" s="6" t="n"/>
      <c r="BD61" s="61" t="n"/>
      <c r="BE61" s="6" t="n"/>
      <c r="BF61" s="60" t="n"/>
      <c r="BG61" s="5" t="n"/>
      <c r="BH61" s="6" t="n"/>
      <c r="BI61" s="62" t="n"/>
      <c r="BJ61" s="5" t="n"/>
      <c r="BK61" s="40" t="n"/>
    </row>
    <row r="62" ht="30" customHeight="1">
      <c r="A62" s="63" t="inlineStr">
        <is>
          <t>UAT-WEB-056</t>
        </is>
      </c>
      <c r="B62" s="6" t="n"/>
      <c r="C62" s="64" t="inlineStr">
        <is>
          <t>テナント管理者</t>
        </is>
      </c>
      <c r="D62" s="5" t="n"/>
      <c r="E62" s="5" t="n"/>
      <c r="F62" s="6" t="n"/>
      <c r="G62" s="64" t="inlineStr">
        <is>
          <t>ユーザー管理</t>
        </is>
      </c>
      <c r="H62" s="5" t="n"/>
      <c r="I62" s="6" t="n"/>
      <c r="J62" s="64" t="inlineStr">
        <is>
          <t>ユーザー追加失敗 — SIP番号がテナント内で使用済み</t>
        </is>
      </c>
      <c r="K62" s="5" t="n"/>
      <c r="L62" s="6" t="n"/>
      <c r="M62" s="64" t="inlineStr">
        <is>
          <t>入力したいSIP番号が同一テナント内の別ユーザーに使用済み</t>
        </is>
      </c>
      <c r="N62" s="5" t="n"/>
      <c r="O62" s="5" t="n"/>
      <c r="P62" s="5" t="n"/>
      <c r="Q62" s="6" t="n"/>
      <c r="R62" s="64" t="inlineStr">
        <is>
          <t>① テナント内で既存のSIP番号を入力する
② 「保存」をクリックする</t>
        </is>
      </c>
      <c r="S62" s="5" t="n"/>
      <c r="T62" s="5" t="n"/>
      <c r="U62" s="5" t="n"/>
      <c r="V62" s="5" t="n"/>
      <c r="W62" s="5" t="n"/>
      <c r="X62" s="6" t="n"/>
      <c r="Y62" s="64" t="inlineStr">
        <is>
          <t>テナント内SIP重複エラーが表示され、ユーザーは作成されない。</t>
        </is>
      </c>
      <c r="Z62" s="5" t="n"/>
      <c r="AA62" s="5" t="n"/>
      <c r="AB62" s="5" t="n"/>
      <c r="AC62" s="5" t="n"/>
      <c r="AD62" s="6" t="n"/>
      <c r="AE62" s="65" t="inlineStr">
        <is>
          <t>A</t>
        </is>
      </c>
      <c r="AF62" s="6" t="n"/>
      <c r="AG62" s="65" t="n"/>
      <c r="AH62" s="6" t="n"/>
      <c r="AI62" s="65" t="n"/>
      <c r="AJ62" s="6" t="n"/>
      <c r="AK62" s="65" t="n"/>
      <c r="AL62" s="6" t="n"/>
      <c r="AM62" s="65" t="n"/>
      <c r="AN62" s="5" t="n"/>
      <c r="AO62" s="6" t="n"/>
      <c r="AP62" s="65" t="n"/>
      <c r="AQ62" s="6" t="n"/>
      <c r="AR62" s="64" t="n"/>
      <c r="AS62" s="5" t="n"/>
      <c r="AT62" s="6" t="n"/>
      <c r="AU62" s="65" t="n"/>
      <c r="AV62" s="6" t="n"/>
      <c r="AW62" s="65" t="n"/>
      <c r="AX62" s="6" t="n"/>
      <c r="AY62" s="65" t="n"/>
      <c r="AZ62" s="6" t="n"/>
      <c r="BA62" s="65" t="n"/>
      <c r="BB62" s="5" t="n"/>
      <c r="BC62" s="6" t="n"/>
      <c r="BD62" s="65" t="n"/>
      <c r="BE62" s="6" t="n"/>
      <c r="BF62" s="64" t="n"/>
      <c r="BG62" s="5" t="n"/>
      <c r="BH62" s="6" t="n"/>
      <c r="BI62" s="66" t="n"/>
      <c r="BJ62" s="5" t="n"/>
      <c r="BK62" s="40" t="n"/>
    </row>
    <row r="63" ht="30" customHeight="1">
      <c r="A63" s="59" t="inlineStr">
        <is>
          <t>UAT-WEB-057</t>
        </is>
      </c>
      <c r="B63" s="6" t="n"/>
      <c r="C63" s="60" t="inlineStr">
        <is>
          <t>テナント管理者</t>
        </is>
      </c>
      <c r="D63" s="5" t="n"/>
      <c r="E63" s="5" t="n"/>
      <c r="F63" s="6" t="n"/>
      <c r="G63" s="60" t="inlineStr">
        <is>
          <t>ユーザー管理</t>
        </is>
      </c>
      <c r="H63" s="5" t="n"/>
      <c r="I63" s="6" t="n"/>
      <c r="J63" s="60" t="inlineStr">
        <is>
          <t>ユーザー追加失敗 — 必須項目不足</t>
        </is>
      </c>
      <c r="K63" s="5" t="n"/>
      <c r="L63" s="6" t="n"/>
      <c r="M63" s="60" t="inlineStr">
        <is>
          <t>「ユーザー追加」画面を表示中</t>
        </is>
      </c>
      <c r="N63" s="5" t="n"/>
      <c r="O63" s="5" t="n"/>
      <c r="P63" s="5" t="n"/>
      <c r="Q63" s="6" t="n"/>
      <c r="R63" s="60" t="inlineStr">
        <is>
          <t>① 必須項目の姓を空欄にする
② 「保存」をクリックする</t>
        </is>
      </c>
      <c r="S63" s="5" t="n"/>
      <c r="T63" s="5" t="n"/>
      <c r="U63" s="5" t="n"/>
      <c r="V63" s="5" t="n"/>
      <c r="W63" s="5" t="n"/>
      <c r="X63" s="6" t="n"/>
      <c r="Y63" s="60" t="inlineStr">
        <is>
          <t>姓項目のバリデーションエラーが表示され、ユーザーは作成されない。</t>
        </is>
      </c>
      <c r="Z63" s="5" t="n"/>
      <c r="AA63" s="5" t="n"/>
      <c r="AB63" s="5" t="n"/>
      <c r="AC63" s="5" t="n"/>
      <c r="AD63" s="6" t="n"/>
      <c r="AE63" s="61" t="inlineStr">
        <is>
          <t>A</t>
        </is>
      </c>
      <c r="AF63" s="6" t="n"/>
      <c r="AG63" s="61" t="n"/>
      <c r="AH63" s="6" t="n"/>
      <c r="AI63" s="61" t="n"/>
      <c r="AJ63" s="6" t="n"/>
      <c r="AK63" s="61" t="n"/>
      <c r="AL63" s="6" t="n"/>
      <c r="AM63" s="61" t="n"/>
      <c r="AN63" s="5" t="n"/>
      <c r="AO63" s="6" t="n"/>
      <c r="AP63" s="61" t="n"/>
      <c r="AQ63" s="6" t="n"/>
      <c r="AR63" s="60" t="n"/>
      <c r="AS63" s="5" t="n"/>
      <c r="AT63" s="6" t="n"/>
      <c r="AU63" s="61" t="n"/>
      <c r="AV63" s="6" t="n"/>
      <c r="AW63" s="61" t="n"/>
      <c r="AX63" s="6" t="n"/>
      <c r="AY63" s="61" t="n"/>
      <c r="AZ63" s="6" t="n"/>
      <c r="BA63" s="61" t="n"/>
      <c r="BB63" s="5" t="n"/>
      <c r="BC63" s="6" t="n"/>
      <c r="BD63" s="61" t="n"/>
      <c r="BE63" s="6" t="n"/>
      <c r="BF63" s="60" t="n"/>
      <c r="BG63" s="5" t="n"/>
      <c r="BH63" s="6" t="n"/>
      <c r="BI63" s="62" t="n"/>
      <c r="BJ63" s="5" t="n"/>
      <c r="BK63" s="40" t="n"/>
    </row>
    <row r="64" ht="45" customHeight="1">
      <c r="A64" s="63" t="inlineStr">
        <is>
          <t>UAT-WEB-058</t>
        </is>
      </c>
      <c r="B64" s="6" t="n"/>
      <c r="C64" s="64" t="inlineStr">
        <is>
          <t>テナント管理者</t>
        </is>
      </c>
      <c r="D64" s="5" t="n"/>
      <c r="E64" s="5" t="n"/>
      <c r="F64" s="6" t="n"/>
      <c r="G64" s="64" t="inlineStr">
        <is>
          <t>ユーザー管理</t>
        </is>
      </c>
      <c r="H64" s="5" t="n"/>
      <c r="I64" s="6" t="n"/>
      <c r="J64" s="64" t="inlineStr">
        <is>
          <t>テナント種別ごとのSIP範囲を確認</t>
        </is>
      </c>
      <c r="K64" s="5" t="n"/>
      <c r="L64" s="6" t="n"/>
      <c r="M64" s="64" t="inlineStr">
        <is>
          <t>固定電話を利用しないテナント（コード500–999）</t>
        </is>
      </c>
      <c r="N64" s="5" t="n"/>
      <c r="O64" s="5" t="n"/>
      <c r="P64" s="5" t="n"/>
      <c r="Q64" s="6" t="n"/>
      <c r="R64" s="64" t="inlineStr">
        <is>
          <t>① SIP番号に99999を入力する（10000–99899の範囲外）
② 「保存」をクリックする</t>
        </is>
      </c>
      <c r="S64" s="5" t="n"/>
      <c r="T64" s="5" t="n"/>
      <c r="U64" s="5" t="n"/>
      <c r="V64" s="5" t="n"/>
      <c r="W64" s="5" t="n"/>
      <c r="X64" s="6" t="n"/>
      <c r="Y64" s="64" t="inlineStr">
        <is>
          <t>SIP範囲外エラーが表示され、ユーザーは作成されない。</t>
        </is>
      </c>
      <c r="Z64" s="5" t="n"/>
      <c r="AA64" s="5" t="n"/>
      <c r="AB64" s="5" t="n"/>
      <c r="AC64" s="5" t="n"/>
      <c r="AD64" s="6" t="n"/>
      <c r="AE64" s="65" t="inlineStr">
        <is>
          <t>A</t>
        </is>
      </c>
      <c r="AF64" s="6" t="n"/>
      <c r="AG64" s="65" t="n"/>
      <c r="AH64" s="6" t="n"/>
      <c r="AI64" s="65" t="n"/>
      <c r="AJ64" s="6" t="n"/>
      <c r="AK64" s="65" t="n"/>
      <c r="AL64" s="6" t="n"/>
      <c r="AM64" s="65" t="n"/>
      <c r="AN64" s="5" t="n"/>
      <c r="AO64" s="6" t="n"/>
      <c r="AP64" s="65" t="n"/>
      <c r="AQ64" s="6" t="n"/>
      <c r="AR64" s="64" t="n"/>
      <c r="AS64" s="5" t="n"/>
      <c r="AT64" s="6" t="n"/>
      <c r="AU64" s="65" t="n"/>
      <c r="AV64" s="6" t="n"/>
      <c r="AW64" s="65" t="n"/>
      <c r="AX64" s="6" t="n"/>
      <c r="AY64" s="65" t="n"/>
      <c r="AZ64" s="6" t="n"/>
      <c r="BA64" s="65" t="n"/>
      <c r="BB64" s="5" t="n"/>
      <c r="BC64" s="6" t="n"/>
      <c r="BD64" s="65" t="n"/>
      <c r="BE64" s="6" t="n"/>
      <c r="BF64" s="64" t="n"/>
      <c r="BG64" s="5" t="n"/>
      <c r="BH64" s="6" t="n"/>
      <c r="BI64" s="66" t="n"/>
      <c r="BJ64" s="5" t="n"/>
      <c r="BK64" s="40" t="n"/>
    </row>
    <row r="65" ht="45" customHeight="1">
      <c r="A65" s="59" t="inlineStr">
        <is>
          <t>UAT-WEB-059</t>
        </is>
      </c>
      <c r="B65" s="6" t="n"/>
      <c r="C65" s="60" t="inlineStr">
        <is>
          <t>テナント管理者</t>
        </is>
      </c>
      <c r="D65" s="5" t="n"/>
      <c r="E65" s="5" t="n"/>
      <c r="F65" s="6" t="n"/>
      <c r="G65" s="60" t="inlineStr">
        <is>
          <t>ユーザー管理</t>
        </is>
      </c>
      <c r="H65" s="5" t="n"/>
      <c r="I65" s="6" t="n"/>
      <c r="J65" s="60" t="inlineStr">
        <is>
          <t>ユーザー情報詳細を確認</t>
        </is>
      </c>
      <c r="K65" s="5" t="n"/>
      <c r="L65" s="6" t="n"/>
      <c r="M65" s="60" t="inlineStr">
        <is>
          <t>テナント内に少なくとも1名のユーザーが存在する</t>
        </is>
      </c>
      <c r="N65" s="5" t="n"/>
      <c r="O65" s="5" t="n"/>
      <c r="P65" s="5" t="n"/>
      <c r="Q65" s="6" t="n"/>
      <c r="R65" s="60" t="inlineStr">
        <is>
          <t>① 一覧内のユーザー行をクリックする</t>
        </is>
      </c>
      <c r="S65" s="5" t="n"/>
      <c r="T65" s="5" t="n"/>
      <c r="U65" s="5" t="n"/>
      <c r="V65" s="5" t="n"/>
      <c r="W65" s="5" t="n"/>
      <c r="X65" s="6" t="n"/>
      <c r="Y65" s="60" t="inlineStr">
        <is>
          <t>メールアドレス、氏名、カタカナ、状態、SIP番号、住所、メモ、作成日、更新日がすべて表示される。</t>
        </is>
      </c>
      <c r="Z65" s="5" t="n"/>
      <c r="AA65" s="5" t="n"/>
      <c r="AB65" s="5" t="n"/>
      <c r="AC65" s="5" t="n"/>
      <c r="AD65" s="6" t="n"/>
      <c r="AE65" s="61" t="inlineStr">
        <is>
          <t>N</t>
        </is>
      </c>
      <c r="AF65" s="6" t="n"/>
      <c r="AG65" s="61" t="n"/>
      <c r="AH65" s="6" t="n"/>
      <c r="AI65" s="61" t="n"/>
      <c r="AJ65" s="6" t="n"/>
      <c r="AK65" s="61" t="n"/>
      <c r="AL65" s="6" t="n"/>
      <c r="AM65" s="61" t="n"/>
      <c r="AN65" s="5" t="n"/>
      <c r="AO65" s="6" t="n"/>
      <c r="AP65" s="61" t="n"/>
      <c r="AQ65" s="6" t="n"/>
      <c r="AR65" s="60" t="n"/>
      <c r="AS65" s="5" t="n"/>
      <c r="AT65" s="6" t="n"/>
      <c r="AU65" s="61" t="n"/>
      <c r="AV65" s="6" t="n"/>
      <c r="AW65" s="61" t="n"/>
      <c r="AX65" s="6" t="n"/>
      <c r="AY65" s="61" t="n"/>
      <c r="AZ65" s="6" t="n"/>
      <c r="BA65" s="61" t="n"/>
      <c r="BB65" s="5" t="n"/>
      <c r="BC65" s="6" t="n"/>
      <c r="BD65" s="61" t="n"/>
      <c r="BE65" s="6" t="n"/>
      <c r="BF65" s="60" t="n"/>
      <c r="BG65" s="5" t="n"/>
      <c r="BH65" s="6" t="n"/>
      <c r="BI65" s="62" t="n"/>
      <c r="BJ65" s="5" t="n"/>
      <c r="BK65" s="40" t="n"/>
    </row>
    <row r="66" ht="45" customHeight="1">
      <c r="A66" s="63" t="inlineStr">
        <is>
          <t>UAT-WEB-060</t>
        </is>
      </c>
      <c r="B66" s="6" t="n"/>
      <c r="C66" s="64" t="inlineStr">
        <is>
          <t>テナント管理者</t>
        </is>
      </c>
      <c r="D66" s="5" t="n"/>
      <c r="E66" s="5" t="n"/>
      <c r="F66" s="6" t="n"/>
      <c r="G66" s="64" t="inlineStr">
        <is>
          <t>ユーザー管理</t>
        </is>
      </c>
      <c r="H66" s="5" t="n"/>
      <c r="I66" s="6" t="n"/>
      <c r="J66" s="64" t="inlineStr">
        <is>
          <t>「削除済み」状態のユーザーで「編集」「削除」ボタンを確認</t>
        </is>
      </c>
      <c r="K66" s="5" t="n"/>
      <c r="L66" s="6" t="n"/>
      <c r="M66" s="64" t="inlineStr">
        <is>
          <t>あり ユーザー 状態 「削除済み」</t>
        </is>
      </c>
      <c r="N66" s="5" t="n"/>
      <c r="O66" s="5" t="n"/>
      <c r="P66" s="5" t="n"/>
      <c r="Q66" s="6" t="n"/>
      <c r="R66" s="64" t="inlineStr">
        <is>
          <t>① 「削除済み」状態の対象ユーザーをクリックする
② 操作ボタンを確認する</t>
        </is>
      </c>
      <c r="S66" s="5" t="n"/>
      <c r="T66" s="5" t="n"/>
      <c r="U66" s="5" t="n"/>
      <c r="V66" s="5" t="n"/>
      <c r="W66" s="5" t="n"/>
      <c r="X66" s="6" t="n"/>
      <c r="Y66" s="64" t="inlineStr">
        <is>
          <t>「編集」「削除」ボタンは表示されず、情報参照のみ可能。</t>
        </is>
      </c>
      <c r="Z66" s="5" t="n"/>
      <c r="AA66" s="5" t="n"/>
      <c r="AB66" s="5" t="n"/>
      <c r="AC66" s="5" t="n"/>
      <c r="AD66" s="6" t="n"/>
      <c r="AE66" s="65" t="inlineStr">
        <is>
          <t>B</t>
        </is>
      </c>
      <c r="AF66" s="6" t="n"/>
      <c r="AG66" s="65" t="n"/>
      <c r="AH66" s="6" t="n"/>
      <c r="AI66" s="65" t="n"/>
      <c r="AJ66" s="6" t="n"/>
      <c r="AK66" s="65" t="n"/>
      <c r="AL66" s="6" t="n"/>
      <c r="AM66" s="65" t="n"/>
      <c r="AN66" s="5" t="n"/>
      <c r="AO66" s="6" t="n"/>
      <c r="AP66" s="65" t="n"/>
      <c r="AQ66" s="6" t="n"/>
      <c r="AR66" s="64" t="n"/>
      <c r="AS66" s="5" t="n"/>
      <c r="AT66" s="6" t="n"/>
      <c r="AU66" s="65" t="n"/>
      <c r="AV66" s="6" t="n"/>
      <c r="AW66" s="65" t="n"/>
      <c r="AX66" s="6" t="n"/>
      <c r="AY66" s="65" t="n"/>
      <c r="AZ66" s="6" t="n"/>
      <c r="BA66" s="65" t="n"/>
      <c r="BB66" s="5" t="n"/>
      <c r="BC66" s="6" t="n"/>
      <c r="BD66" s="65" t="n"/>
      <c r="BE66" s="6" t="n"/>
      <c r="BF66" s="64" t="n"/>
      <c r="BG66" s="5" t="n"/>
      <c r="BH66" s="6" t="n"/>
      <c r="BI66" s="66" t="n"/>
      <c r="BJ66" s="5" t="n"/>
      <c r="BK66" s="40" t="n"/>
    </row>
    <row r="67" ht="75" customHeight="1">
      <c r="A67" s="59" t="inlineStr">
        <is>
          <t>UAT-WEB-061</t>
        </is>
      </c>
      <c r="B67" s="6" t="n"/>
      <c r="C67" s="60" t="inlineStr">
        <is>
          <t>テナント管理者</t>
        </is>
      </c>
      <c r="D67" s="5" t="n"/>
      <c r="E67" s="5" t="n"/>
      <c r="F67" s="6" t="n"/>
      <c r="G67" s="60" t="inlineStr">
        <is>
          <t>ユーザー管理</t>
        </is>
      </c>
      <c r="H67" s="5" t="n"/>
      <c r="I67" s="6" t="n"/>
      <c r="J67" s="60" t="inlineStr">
        <is>
          <t>ユーザー情報編集 — 氏名を更新</t>
        </is>
      </c>
      <c r="K67" s="5" t="n"/>
      <c r="L67" s="6" t="n"/>
      <c r="M67" s="60" t="inlineStr">
        <is>
          <t>ユーザー状態が「削除済み」以外</t>
        </is>
      </c>
      <c r="N67" s="5" t="n"/>
      <c r="O67" s="5" t="n"/>
      <c r="P67" s="5" t="n"/>
      <c r="Q67" s="6" t="n"/>
      <c r="R67" s="60" t="inlineStr">
        <is>
          <t>① ユーザー詳細を開き、「編集」をクリックする
② 姓、名、姓（カナ）、名（カナ）、住所、メモを編集する
③ 「保存」をクリックする</t>
        </is>
      </c>
      <c r="S67" s="5" t="n"/>
      <c r="T67" s="5" t="n"/>
      <c r="U67" s="5" t="n"/>
      <c r="V67" s="5" t="n"/>
      <c r="W67" s="5" t="n"/>
      <c r="X67" s="6" t="n"/>
      <c r="Y67" s="60" t="inlineStr">
        <is>
          <t>姓、名、姓（カナ）、名（カナ）、住所、メモが更新される。
メールアドレス、状態、SIP番号は変更できない。</t>
        </is>
      </c>
      <c r="Z67" s="5" t="n"/>
      <c r="AA67" s="5" t="n"/>
      <c r="AB67" s="5" t="n"/>
      <c r="AC67" s="5" t="n"/>
      <c r="AD67" s="6" t="n"/>
      <c r="AE67" s="61" t="inlineStr">
        <is>
          <t>N</t>
        </is>
      </c>
      <c r="AF67" s="6" t="n"/>
      <c r="AG67" s="61" t="n"/>
      <c r="AH67" s="6" t="n"/>
      <c r="AI67" s="61" t="n"/>
      <c r="AJ67" s="6" t="n"/>
      <c r="AK67" s="61" t="n"/>
      <c r="AL67" s="6" t="n"/>
      <c r="AM67" s="61" t="n"/>
      <c r="AN67" s="5" t="n"/>
      <c r="AO67" s="6" t="n"/>
      <c r="AP67" s="61" t="n"/>
      <c r="AQ67" s="6" t="n"/>
      <c r="AR67" s="60" t="n"/>
      <c r="AS67" s="5" t="n"/>
      <c r="AT67" s="6" t="n"/>
      <c r="AU67" s="61" t="n"/>
      <c r="AV67" s="6" t="n"/>
      <c r="AW67" s="61" t="n"/>
      <c r="AX67" s="6" t="n"/>
      <c r="AY67" s="61" t="n"/>
      <c r="AZ67" s="6" t="n"/>
      <c r="BA67" s="61" t="n"/>
      <c r="BB67" s="5" t="n"/>
      <c r="BC67" s="6" t="n"/>
      <c r="BD67" s="61" t="n"/>
      <c r="BE67" s="6" t="n"/>
      <c r="BF67" s="60" t="n"/>
      <c r="BG67" s="5" t="n"/>
      <c r="BH67" s="6" t="n"/>
      <c r="BI67" s="62" t="n"/>
      <c r="BJ67" s="5" t="n"/>
      <c r="BK67" s="40" t="n"/>
    </row>
    <row r="68" ht="75" customHeight="1">
      <c r="A68" s="63" t="inlineStr">
        <is>
          <t>UAT-WEB-062</t>
        </is>
      </c>
      <c r="B68" s="6" t="n"/>
      <c r="C68" s="64" t="inlineStr">
        <is>
          <t>テナント管理者</t>
        </is>
      </c>
      <c r="D68" s="5" t="n"/>
      <c r="E68" s="5" t="n"/>
      <c r="F68" s="6" t="n"/>
      <c r="G68" s="64" t="inlineStr">
        <is>
          <t>ユーザー管理</t>
        </is>
      </c>
      <c r="H68" s="5" t="n"/>
      <c r="I68" s="6" t="n"/>
      <c r="J68" s="64" t="inlineStr">
        <is>
          <t>「登録済み」ユーザーへ有効化メールを送信</t>
        </is>
      </c>
      <c r="K68" s="5" t="n"/>
      <c r="L68" s="6" t="n"/>
      <c r="M68" s="64" t="inlineStr">
        <is>
          <t>「登録済み」状態のユーザーが存在する</t>
        </is>
      </c>
      <c r="N68" s="5" t="n"/>
      <c r="O68" s="5" t="n"/>
      <c r="P68" s="5" t="n"/>
      <c r="Q68" s="6" t="n"/>
      <c r="R68" s="64" t="inlineStr">
        <is>
          <t>① 「登録済み」ユーザーのチェックボックスを選択する
② 「ログイン情報送信」をクリックする
③ 通常の確認ポップアップを確認する
④ 「OK」ボタンをクリックする</t>
        </is>
      </c>
      <c r="S68" s="5" t="n"/>
      <c r="T68" s="5" t="n"/>
      <c r="U68" s="5" t="n"/>
      <c r="V68" s="5" t="n"/>
      <c r="W68" s="5" t="n"/>
      <c r="X68" s="6" t="n"/>
      <c r="Y68" s="64" t="inlineStr">
        <is>
          <t>有効化メールが正常に送信され、ユーザー状態は「アクティブ待ち」になる。</t>
        </is>
      </c>
      <c r="Z68" s="5" t="n"/>
      <c r="AA68" s="5" t="n"/>
      <c r="AB68" s="5" t="n"/>
      <c r="AC68" s="5" t="n"/>
      <c r="AD68" s="6" t="n"/>
      <c r="AE68" s="65" t="inlineStr">
        <is>
          <t>N</t>
        </is>
      </c>
      <c r="AF68" s="6" t="n"/>
      <c r="AG68" s="65" t="n"/>
      <c r="AH68" s="6" t="n"/>
      <c r="AI68" s="65" t="n"/>
      <c r="AJ68" s="6" t="n"/>
      <c r="AK68" s="65" t="n"/>
      <c r="AL68" s="6" t="n"/>
      <c r="AM68" s="65" t="n"/>
      <c r="AN68" s="5" t="n"/>
      <c r="AO68" s="6" t="n"/>
      <c r="AP68" s="65" t="n"/>
      <c r="AQ68" s="6" t="n"/>
      <c r="AR68" s="64" t="n"/>
      <c r="AS68" s="5" t="n"/>
      <c r="AT68" s="6" t="n"/>
      <c r="AU68" s="65" t="n"/>
      <c r="AV68" s="6" t="n"/>
      <c r="AW68" s="65" t="n"/>
      <c r="AX68" s="6" t="n"/>
      <c r="AY68" s="65" t="n"/>
      <c r="AZ68" s="6" t="n"/>
      <c r="BA68" s="65" t="n"/>
      <c r="BB68" s="5" t="n"/>
      <c r="BC68" s="6" t="n"/>
      <c r="BD68" s="65" t="n"/>
      <c r="BE68" s="6" t="n"/>
      <c r="BF68" s="64" t="n"/>
      <c r="BG68" s="5" t="n"/>
      <c r="BH68" s="6" t="n"/>
      <c r="BI68" s="66" t="n"/>
      <c r="BJ68" s="5" t="n"/>
      <c r="BK68" s="40" t="n"/>
    </row>
    <row r="69" ht="150" customHeight="1">
      <c r="A69" s="59" t="inlineStr">
        <is>
          <t>UAT-WEB-063</t>
        </is>
      </c>
      <c r="B69" s="6" t="n"/>
      <c r="C69" s="60" t="inlineStr">
        <is>
          <t>テナント管理者</t>
        </is>
      </c>
      <c r="D69" s="5" t="n"/>
      <c r="E69" s="5" t="n"/>
      <c r="F69" s="6" t="n"/>
      <c r="G69" s="60" t="inlineStr">
        <is>
          <t>ユーザー管理</t>
        </is>
      </c>
      <c r="H69" s="5" t="n"/>
      <c r="I69" s="6" t="n"/>
      <c r="J69" s="60" t="inlineStr">
        <is>
          <t>「アクティブ待ち」ユーザーへ有効化メールを再送信</t>
        </is>
      </c>
      <c r="K69" s="5" t="n"/>
      <c r="L69" s="6" t="n"/>
      <c r="M69" s="60" t="inlineStr">
        <is>
          <t>「アクティブ待ち」状態のユーザーが存在する（メール送信済み（1回））</t>
        </is>
      </c>
      <c r="N69" s="5" t="n"/>
      <c r="O69" s="5" t="n"/>
      <c r="P69" s="5" t="n"/>
      <c r="Q69" s="6" t="n"/>
      <c r="R69" s="60" t="inlineStr">
        <is>
          <t>① 「アクティブ待ち」ユーザーのチェックボックスを選択する
② 「ログイン情報送信」をクリックする
③ 「OK」をクリックするボタンをクリックする
④ 「ログイン情報送信確認」ポップアップで「OK」ボタンをクリックする</t>
        </is>
      </c>
      <c r="S69" s="5" t="n"/>
      <c r="T69" s="5" t="n"/>
      <c r="U69" s="5" t="n"/>
      <c r="V69" s="5" t="n"/>
      <c r="W69" s="5" t="n"/>
      <c r="X69" s="6" t="n"/>
      <c r="Y69" s="60" t="inlineStr">
        <is>
          <t>警告ポップアップが表示される（このユーザーへ以前にメール送信済み）。
- 「OK」を押下すると、選択したすべてのユーザーへ有効化メールが送信される。
- 「キャンセル」ポップアップで「キャンセル」を押下した場合、状態が「登録済み」のユーザーには送信され、「アクティブ待ち」のアカウントには送信されない。</t>
        </is>
      </c>
      <c r="Z69" s="5" t="n"/>
      <c r="AA69" s="5" t="n"/>
      <c r="AB69" s="5" t="n"/>
      <c r="AC69" s="5" t="n"/>
      <c r="AD69" s="6" t="n"/>
      <c r="AE69" s="61" t="inlineStr">
        <is>
          <t>N</t>
        </is>
      </c>
      <c r="AF69" s="6" t="n"/>
      <c r="AG69" s="61" t="n"/>
      <c r="AH69" s="6" t="n"/>
      <c r="AI69" s="61" t="n"/>
      <c r="AJ69" s="6" t="n"/>
      <c r="AK69" s="61" t="n"/>
      <c r="AL69" s="6" t="n"/>
      <c r="AM69" s="61" t="n"/>
      <c r="AN69" s="5" t="n"/>
      <c r="AO69" s="6" t="n"/>
      <c r="AP69" s="61" t="n"/>
      <c r="AQ69" s="6" t="n"/>
      <c r="AR69" s="60" t="n"/>
      <c r="AS69" s="5" t="n"/>
      <c r="AT69" s="6" t="n"/>
      <c r="AU69" s="61" t="n"/>
      <c r="AV69" s="6" t="n"/>
      <c r="AW69" s="61" t="n"/>
      <c r="AX69" s="6" t="n"/>
      <c r="AY69" s="61" t="n"/>
      <c r="AZ69" s="6" t="n"/>
      <c r="BA69" s="61" t="n"/>
      <c r="BB69" s="5" t="n"/>
      <c r="BC69" s="6" t="n"/>
      <c r="BD69" s="61" t="n"/>
      <c r="BE69" s="6" t="n"/>
      <c r="BF69" s="60" t="n"/>
      <c r="BG69" s="5" t="n"/>
      <c r="BH69" s="6" t="n"/>
      <c r="BI69" s="62" t="n"/>
      <c r="BJ69" s="5" t="n"/>
      <c r="BK69" s="40" t="n"/>
    </row>
    <row r="70" ht="45" customHeight="1">
      <c r="A70" s="63" t="inlineStr">
        <is>
          <t>UAT-WEB-064</t>
        </is>
      </c>
      <c r="B70" s="6" t="n"/>
      <c r="C70" s="64" t="inlineStr">
        <is>
          <t>テナント管理者</t>
        </is>
      </c>
      <c r="D70" s="5" t="n"/>
      <c r="E70" s="5" t="n"/>
      <c r="F70" s="6" t="n"/>
      <c r="G70" s="64" t="inlineStr">
        <is>
          <t>ユーザー管理</t>
        </is>
      </c>
      <c r="H70" s="5" t="n"/>
      <c r="I70" s="6" t="n"/>
      <c r="J70" s="64" t="inlineStr">
        <is>
          <t>「登録済み」「アクティブ待ち」以外の状態のユーザーには有効化メールを送信できない</t>
        </is>
      </c>
      <c r="K70" s="5" t="n"/>
      <c r="L70" s="6" t="n"/>
      <c r="M70" s="64" t="inlineStr">
        <is>
          <t>「登録済み」「アクティブ待ち」以外の状態のユーザーが存在する</t>
        </is>
      </c>
      <c r="N70" s="5" t="n"/>
      <c r="O70" s="5" t="n"/>
      <c r="P70" s="5" t="n"/>
      <c r="Q70" s="6" t="n"/>
      <c r="R70" s="64" t="inlineStr">
        <is>
          <t>① チェックボックスの表示を確認する</t>
        </is>
      </c>
      <c r="S70" s="5" t="n"/>
      <c r="T70" s="5" t="n"/>
      <c r="U70" s="5" t="n"/>
      <c r="V70" s="5" t="n"/>
      <c r="W70" s="5" t="n"/>
      <c r="X70" s="6" t="n"/>
      <c r="Y70" s="64" t="inlineStr">
        <is>
          <t>「登録済み」「アクティブ待ち」以外の状態のユーザーではチェックボックスが無効化され選択できない。</t>
        </is>
      </c>
      <c r="Z70" s="5" t="n"/>
      <c r="AA70" s="5" t="n"/>
      <c r="AB70" s="5" t="n"/>
      <c r="AC70" s="5" t="n"/>
      <c r="AD70" s="6" t="n"/>
      <c r="AE70" s="65" t="inlineStr">
        <is>
          <t>N</t>
        </is>
      </c>
      <c r="AF70" s="6" t="n"/>
      <c r="AG70" s="65" t="n"/>
      <c r="AH70" s="6" t="n"/>
      <c r="AI70" s="65" t="n"/>
      <c r="AJ70" s="6" t="n"/>
      <c r="AK70" s="65" t="n"/>
      <c r="AL70" s="6" t="n"/>
      <c r="AM70" s="65" t="n"/>
      <c r="AN70" s="5" t="n"/>
      <c r="AO70" s="6" t="n"/>
      <c r="AP70" s="65" t="n"/>
      <c r="AQ70" s="6" t="n"/>
      <c r="AR70" s="64" t="n"/>
      <c r="AS70" s="5" t="n"/>
      <c r="AT70" s="6" t="n"/>
      <c r="AU70" s="65" t="n"/>
      <c r="AV70" s="6" t="n"/>
      <c r="AW70" s="65" t="n"/>
      <c r="AX70" s="6" t="n"/>
      <c r="AY70" s="65" t="n"/>
      <c r="AZ70" s="6" t="n"/>
      <c r="BA70" s="65" t="n"/>
      <c r="BB70" s="5" t="n"/>
      <c r="BC70" s="6" t="n"/>
      <c r="BD70" s="65" t="n"/>
      <c r="BE70" s="6" t="n"/>
      <c r="BF70" s="64" t="n"/>
      <c r="BG70" s="5" t="n"/>
      <c r="BH70" s="6" t="n"/>
      <c r="BI70" s="66" t="n"/>
      <c r="BJ70" s="5" t="n"/>
      <c r="BK70" s="40" t="n"/>
    </row>
    <row r="71" ht="30" customHeight="1">
      <c r="A71" s="59" t="inlineStr">
        <is>
          <t>UAT-WEB-065</t>
        </is>
      </c>
      <c r="B71" s="6" t="n"/>
      <c r="C71" s="60" t="inlineStr">
        <is>
          <t>テナント管理者</t>
        </is>
      </c>
      <c r="D71" s="5" t="n"/>
      <c r="E71" s="5" t="n"/>
      <c r="F71" s="6" t="n"/>
      <c r="G71" s="60" t="inlineStr">
        <is>
          <t>ユーザー管理</t>
        </is>
      </c>
      <c r="H71" s="5" t="n"/>
      <c r="I71" s="6" t="n"/>
      <c r="J71" s="60" t="inlineStr">
        <is>
          <t>「戻る」ボタンでユーザー一覧へ戻る</t>
        </is>
      </c>
      <c r="K71" s="5" t="n"/>
      <c r="L71" s="6" t="n"/>
      <c r="M71" s="60" t="inlineStr">
        <is>
          <t>ユーザー詳細画面を表示中</t>
        </is>
      </c>
      <c r="N71" s="5" t="n"/>
      <c r="O71" s="5" t="n"/>
      <c r="P71" s="5" t="n"/>
      <c r="Q71" s="6" t="n"/>
      <c r="R71" s="60" t="inlineStr">
        <is>
          <t>① 「戻る」をクリックする</t>
        </is>
      </c>
      <c r="S71" s="5" t="n"/>
      <c r="T71" s="5" t="n"/>
      <c r="U71" s="5" t="n"/>
      <c r="V71" s="5" t="n"/>
      <c r="W71" s="5" t="n"/>
      <c r="X71" s="6" t="n"/>
      <c r="Y71" s="60" t="inlineStr">
        <is>
          <t>ユーザー一覧画面へ戻り、画面には直前の検索条件が保持される。</t>
        </is>
      </c>
      <c r="Z71" s="5" t="n"/>
      <c r="AA71" s="5" t="n"/>
      <c r="AB71" s="5" t="n"/>
      <c r="AC71" s="5" t="n"/>
      <c r="AD71" s="6" t="n"/>
      <c r="AE71" s="61" t="inlineStr">
        <is>
          <t>B</t>
        </is>
      </c>
      <c r="AF71" s="6" t="n"/>
      <c r="AG71" s="61" t="n"/>
      <c r="AH71" s="6" t="n"/>
      <c r="AI71" s="61" t="n"/>
      <c r="AJ71" s="6" t="n"/>
      <c r="AK71" s="61" t="n"/>
      <c r="AL71" s="6" t="n"/>
      <c r="AM71" s="61" t="n"/>
      <c r="AN71" s="5" t="n"/>
      <c r="AO71" s="6" t="n"/>
      <c r="AP71" s="61" t="n"/>
      <c r="AQ71" s="6" t="n"/>
      <c r="AR71" s="60" t="n"/>
      <c r="AS71" s="5" t="n"/>
      <c r="AT71" s="6" t="n"/>
      <c r="AU71" s="61" t="n"/>
      <c r="AV71" s="6" t="n"/>
      <c r="AW71" s="61" t="n"/>
      <c r="AX71" s="6" t="n"/>
      <c r="AY71" s="61" t="n"/>
      <c r="AZ71" s="6" t="n"/>
      <c r="BA71" s="61" t="n"/>
      <c r="BB71" s="5" t="n"/>
      <c r="BC71" s="6" t="n"/>
      <c r="BD71" s="61" t="n"/>
      <c r="BE71" s="6" t="n"/>
      <c r="BF71" s="60" t="n"/>
      <c r="BG71" s="5" t="n"/>
      <c r="BH71" s="6" t="n"/>
      <c r="BI71" s="62" t="n"/>
      <c r="BJ71" s="5" t="n"/>
      <c r="BK71" s="40" t="n"/>
    </row>
    <row r="72" ht="45" customHeight="1">
      <c r="A72" s="63" t="inlineStr">
        <is>
          <t>UAT-WEB-066</t>
        </is>
      </c>
      <c r="B72" s="6" t="n"/>
      <c r="C72" s="64" t="inlineStr">
        <is>
          <t>テナント管理者</t>
        </is>
      </c>
      <c r="D72" s="5" t="n"/>
      <c r="E72" s="5" t="n"/>
      <c r="F72" s="6" t="n"/>
      <c r="G72" s="64" t="inlineStr">
        <is>
          <t>ユーザー管理</t>
        </is>
      </c>
      <c r="H72" s="5" t="n"/>
      <c r="I72" s="6" t="n"/>
      <c r="J72" s="64" t="inlineStr">
        <is>
          <t>ユーザー一覧画面からCSVテンプレートをダウンロード</t>
        </is>
      </c>
      <c r="K72" s="5" t="n"/>
      <c r="L72" s="6" t="n"/>
      <c r="M72" s="64" t="inlineStr">
        <is>
          <t>テナント管理者でログイン</t>
        </is>
      </c>
      <c r="N72" s="5" t="n"/>
      <c r="O72" s="5" t="n"/>
      <c r="P72" s="5" t="n"/>
      <c r="Q72" s="6" t="n"/>
      <c r="R72" s="64" t="inlineStr">
        <is>
          <t>① 「CSVテンプレートダウンロード」をクリックする</t>
        </is>
      </c>
      <c r="S72" s="5" t="n"/>
      <c r="T72" s="5" t="n"/>
      <c r="U72" s="5" t="n"/>
      <c r="V72" s="5" t="n"/>
      <c r="W72" s="5" t="n"/>
      <c r="X72" s="6" t="n"/>
      <c r="Y72" s="64" t="inlineStr">
        <is>
          <t>正しいテンプレート形式のヘッダーを持つユーザー.csvがダウンロードされる。</t>
        </is>
      </c>
      <c r="Z72" s="5" t="n"/>
      <c r="AA72" s="5" t="n"/>
      <c r="AB72" s="5" t="n"/>
      <c r="AC72" s="5" t="n"/>
      <c r="AD72" s="6" t="n"/>
      <c r="AE72" s="65" t="inlineStr">
        <is>
          <t>N</t>
        </is>
      </c>
      <c r="AF72" s="6" t="n"/>
      <c r="AG72" s="65" t="n"/>
      <c r="AH72" s="6" t="n"/>
      <c r="AI72" s="65" t="n"/>
      <c r="AJ72" s="6" t="n"/>
      <c r="AK72" s="65" t="n"/>
      <c r="AL72" s="6" t="n"/>
      <c r="AM72" s="65" t="n"/>
      <c r="AN72" s="5" t="n"/>
      <c r="AO72" s="6" t="n"/>
      <c r="AP72" s="65" t="n"/>
      <c r="AQ72" s="6" t="n"/>
      <c r="AR72" s="64" t="n"/>
      <c r="AS72" s="5" t="n"/>
      <c r="AT72" s="6" t="n"/>
      <c r="AU72" s="65" t="n"/>
      <c r="AV72" s="6" t="n"/>
      <c r="AW72" s="65" t="n"/>
      <c r="AX72" s="6" t="n"/>
      <c r="AY72" s="65" t="n"/>
      <c r="AZ72" s="6" t="n"/>
      <c r="BA72" s="65" t="n"/>
      <c r="BB72" s="5" t="n"/>
      <c r="BC72" s="6" t="n"/>
      <c r="BD72" s="65" t="n"/>
      <c r="BE72" s="6" t="n"/>
      <c r="BF72" s="64" t="n"/>
      <c r="BG72" s="5" t="n"/>
      <c r="BH72" s="6" t="n"/>
      <c r="BI72" s="66" t="n"/>
      <c r="BJ72" s="5" t="n"/>
      <c r="BK72" s="40" t="n"/>
    </row>
    <row r="73" ht="75" customHeight="1">
      <c r="A73" s="59" t="inlineStr">
        <is>
          <t>UAT-WEB-067</t>
        </is>
      </c>
      <c r="B73" s="6" t="n"/>
      <c r="C73" s="60" t="inlineStr">
        <is>
          <t>テナント管理者</t>
        </is>
      </c>
      <c r="D73" s="5" t="n"/>
      <c r="E73" s="5" t="n"/>
      <c r="F73" s="6" t="n"/>
      <c r="G73" s="60" t="inlineStr">
        <is>
          <t>ユーザー一括インポート</t>
        </is>
      </c>
      <c r="H73" s="5" t="n"/>
      <c r="I73" s="6" t="n"/>
      <c r="J73" s="60" t="inlineStr">
        <is>
          <t>有効なCSVアップロード — すべてのユーザーが作成される</t>
        </is>
      </c>
      <c r="K73" s="5" t="n"/>
      <c r="L73" s="6" t="n"/>
      <c r="M73" s="60" t="inlineStr">
        <is>
          <t>テナント管理者でログイン済みであり、 テンプレートに基づいた有効なCSVファイルがある。</t>
        </is>
      </c>
      <c r="N73" s="5" t="n"/>
      <c r="O73" s="5" t="n"/>
      <c r="P73" s="5" t="n"/>
      <c r="Q73" s="6" t="n"/>
      <c r="R73" s="60" t="inlineStr">
        <is>
          <t>① 「ユーザー一括アップロード」をクリックする
② 有効なCSVファイル
③ 「一括アップロード」をクリックする</t>
        </is>
      </c>
      <c r="S73" s="5" t="n"/>
      <c r="T73" s="5" t="n"/>
      <c r="U73" s="5" t="n"/>
      <c r="V73" s="5" t="n"/>
      <c r="W73" s="5" t="n"/>
      <c r="X73" s="6" t="n"/>
      <c r="Y73" s="60" t="inlineStr">
        <is>
          <t>成功メッセージが表示される。
MVEへの登録が成功した場合、ユーザーは「登録済み」状態で作成される。
MVEへの登録が失敗した場合、ユーザーは「登録待ち」状態で作成される。</t>
        </is>
      </c>
      <c r="Z73" s="5" t="n"/>
      <c r="AA73" s="5" t="n"/>
      <c r="AB73" s="5" t="n"/>
      <c r="AC73" s="5" t="n"/>
      <c r="AD73" s="6" t="n"/>
      <c r="AE73" s="61" t="inlineStr">
        <is>
          <t>N</t>
        </is>
      </c>
      <c r="AF73" s="6" t="n"/>
      <c r="AG73" s="61" t="n"/>
      <c r="AH73" s="6" t="n"/>
      <c r="AI73" s="61" t="n"/>
      <c r="AJ73" s="6" t="n"/>
      <c r="AK73" s="61" t="n"/>
      <c r="AL73" s="6" t="n"/>
      <c r="AM73" s="61" t="n"/>
      <c r="AN73" s="5" t="n"/>
      <c r="AO73" s="6" t="n"/>
      <c r="AP73" s="61" t="n"/>
      <c r="AQ73" s="6" t="n"/>
      <c r="AR73" s="60" t="n"/>
      <c r="AS73" s="5" t="n"/>
      <c r="AT73" s="6" t="n"/>
      <c r="AU73" s="61" t="n"/>
      <c r="AV73" s="6" t="n"/>
      <c r="AW73" s="61" t="n"/>
      <c r="AX73" s="6" t="n"/>
      <c r="AY73" s="61" t="n"/>
      <c r="AZ73" s="6" t="n"/>
      <c r="BA73" s="61" t="n"/>
      <c r="BB73" s="5" t="n"/>
      <c r="BC73" s="6" t="n"/>
      <c r="BD73" s="61" t="n"/>
      <c r="BE73" s="6" t="n"/>
      <c r="BF73" s="60" t="n"/>
      <c r="BG73" s="5" t="n"/>
      <c r="BH73" s="6" t="n"/>
      <c r="BI73" s="62" t="n"/>
      <c r="BJ73" s="5" t="n"/>
      <c r="BK73" s="40" t="n"/>
    </row>
    <row r="74" ht="30" customHeight="1">
      <c r="A74" s="63" t="inlineStr">
        <is>
          <t>UAT-WEB-068</t>
        </is>
      </c>
      <c r="B74" s="6" t="n"/>
      <c r="C74" s="64" t="inlineStr">
        <is>
          <t>テナント管理者</t>
        </is>
      </c>
      <c r="D74" s="5" t="n"/>
      <c r="E74" s="5" t="n"/>
      <c r="F74" s="6" t="n"/>
      <c r="G74" s="64" t="inlineStr">
        <is>
          <t>ユーザー一括インポート</t>
        </is>
      </c>
      <c r="H74" s="5" t="n"/>
      <c r="I74" s="6" t="n"/>
      <c r="J74" s="64" t="inlineStr">
        <is>
          <t>アップロード失敗 — ファイル未選択</t>
        </is>
      </c>
      <c r="K74" s="5" t="n"/>
      <c r="L74" s="6" t="n"/>
      <c r="M74" s="64" t="inlineStr">
        <is>
          <t>インポート画面を表示中</t>
        </is>
      </c>
      <c r="N74" s="5" t="n"/>
      <c r="O74" s="5" t="n"/>
      <c r="P74" s="5" t="n"/>
      <c r="Q74" s="6" t="n"/>
      <c r="R74" s="64" t="inlineStr">
        <is>
          <t>① ない ファイル
② 「一括アップロード」をクリックする</t>
        </is>
      </c>
      <c r="S74" s="5" t="n"/>
      <c r="T74" s="5" t="n"/>
      <c r="U74" s="5" t="n"/>
      <c r="V74" s="5" t="n"/>
      <c r="W74" s="5" t="n"/>
      <c r="X74" s="6" t="n"/>
      <c r="Y74" s="64" t="inlineStr">
        <is>
          <t>「ファイルを1つも選択しない」エラーが表示される。</t>
        </is>
      </c>
      <c r="Z74" s="5" t="n"/>
      <c r="AA74" s="5" t="n"/>
      <c r="AB74" s="5" t="n"/>
      <c r="AC74" s="5" t="n"/>
      <c r="AD74" s="6" t="n"/>
      <c r="AE74" s="65" t="inlineStr">
        <is>
          <t>A</t>
        </is>
      </c>
      <c r="AF74" s="6" t="n"/>
      <c r="AG74" s="65" t="n"/>
      <c r="AH74" s="6" t="n"/>
      <c r="AI74" s="65" t="n"/>
      <c r="AJ74" s="6" t="n"/>
      <c r="AK74" s="65" t="n"/>
      <c r="AL74" s="6" t="n"/>
      <c r="AM74" s="65" t="n"/>
      <c r="AN74" s="5" t="n"/>
      <c r="AO74" s="6" t="n"/>
      <c r="AP74" s="65" t="n"/>
      <c r="AQ74" s="6" t="n"/>
      <c r="AR74" s="64" t="n"/>
      <c r="AS74" s="5" t="n"/>
      <c r="AT74" s="6" t="n"/>
      <c r="AU74" s="65" t="n"/>
      <c r="AV74" s="6" t="n"/>
      <c r="AW74" s="65" t="n"/>
      <c r="AX74" s="6" t="n"/>
      <c r="AY74" s="65" t="n"/>
      <c r="AZ74" s="6" t="n"/>
      <c r="BA74" s="65" t="n"/>
      <c r="BB74" s="5" t="n"/>
      <c r="BC74" s="6" t="n"/>
      <c r="BD74" s="65" t="n"/>
      <c r="BE74" s="6" t="n"/>
      <c r="BF74" s="64" t="n"/>
      <c r="BG74" s="5" t="n"/>
      <c r="BH74" s="6" t="n"/>
      <c r="BI74" s="66" t="n"/>
      <c r="BJ74" s="5" t="n"/>
      <c r="BK74" s="40" t="n"/>
    </row>
    <row r="75" ht="45" customHeight="1">
      <c r="A75" s="59" t="inlineStr">
        <is>
          <t>UAT-WEB-069</t>
        </is>
      </c>
      <c r="B75" s="6" t="n"/>
      <c r="C75" s="60" t="inlineStr">
        <is>
          <t>テナント管理者</t>
        </is>
      </c>
      <c r="D75" s="5" t="n"/>
      <c r="E75" s="5" t="n"/>
      <c r="F75" s="6" t="n"/>
      <c r="G75" s="60" t="inlineStr">
        <is>
          <t>ユーザー一括インポート</t>
        </is>
      </c>
      <c r="H75" s="5" t="n"/>
      <c r="I75" s="6" t="n"/>
      <c r="J75" s="60" t="inlineStr">
        <is>
          <t>アップロード失敗 — ヘッダーのみでデータなし</t>
        </is>
      </c>
      <c r="K75" s="5" t="n"/>
      <c r="L75" s="6" t="n"/>
      <c r="M75" s="60" t="inlineStr">
        <is>
          <t>CSVファイルにヘッダー行のみがある。</t>
        </is>
      </c>
      <c r="N75" s="5" t="n"/>
      <c r="O75" s="5" t="n"/>
      <c r="P75" s="5" t="n"/>
      <c r="Q75" s="6" t="n"/>
      <c r="R75" s="60" t="inlineStr">
        <is>
          <t>① CSVファイルをアップロードする のみ ヘッダー
② 「一括アップロード」をクリックする</t>
        </is>
      </c>
      <c r="S75" s="5" t="n"/>
      <c r="T75" s="5" t="n"/>
      <c r="U75" s="5" t="n"/>
      <c r="V75" s="5" t="n"/>
      <c r="W75" s="5" t="n"/>
      <c r="X75" s="6" t="n"/>
      <c r="Y75" s="60" t="inlineStr">
        <is>
          <t>「CSVファイルがテンプレートと一致しません。」エラーが表示される。</t>
        </is>
      </c>
      <c r="Z75" s="5" t="n"/>
      <c r="AA75" s="5" t="n"/>
      <c r="AB75" s="5" t="n"/>
      <c r="AC75" s="5" t="n"/>
      <c r="AD75" s="6" t="n"/>
      <c r="AE75" s="61" t="inlineStr">
        <is>
          <t>A</t>
        </is>
      </c>
      <c r="AF75" s="6" t="n"/>
      <c r="AG75" s="61" t="n"/>
      <c r="AH75" s="6" t="n"/>
      <c r="AI75" s="61" t="n"/>
      <c r="AJ75" s="6" t="n"/>
      <c r="AK75" s="61" t="n"/>
      <c r="AL75" s="6" t="n"/>
      <c r="AM75" s="61" t="n"/>
      <c r="AN75" s="5" t="n"/>
      <c r="AO75" s="6" t="n"/>
      <c r="AP75" s="61" t="n"/>
      <c r="AQ75" s="6" t="n"/>
      <c r="AR75" s="60" t="n"/>
      <c r="AS75" s="5" t="n"/>
      <c r="AT75" s="6" t="n"/>
      <c r="AU75" s="61" t="n"/>
      <c r="AV75" s="6" t="n"/>
      <c r="AW75" s="61" t="n"/>
      <c r="AX75" s="6" t="n"/>
      <c r="AY75" s="61" t="n"/>
      <c r="AZ75" s="6" t="n"/>
      <c r="BA75" s="61" t="n"/>
      <c r="BB75" s="5" t="n"/>
      <c r="BC75" s="6" t="n"/>
      <c r="BD75" s="61" t="n"/>
      <c r="BE75" s="6" t="n"/>
      <c r="BF75" s="60" t="n"/>
      <c r="BG75" s="5" t="n"/>
      <c r="BH75" s="6" t="n"/>
      <c r="BI75" s="62" t="n"/>
      <c r="BJ75" s="5" t="n"/>
      <c r="BK75" s="40" t="n"/>
    </row>
    <row r="76" ht="45" customHeight="1">
      <c r="A76" s="63" t="inlineStr">
        <is>
          <t>UAT-WEB-070</t>
        </is>
      </c>
      <c r="B76" s="6" t="n"/>
      <c r="C76" s="64" t="inlineStr">
        <is>
          <t>テナント管理者</t>
        </is>
      </c>
      <c r="D76" s="5" t="n"/>
      <c r="E76" s="5" t="n"/>
      <c r="F76" s="6" t="n"/>
      <c r="G76" s="64" t="inlineStr">
        <is>
          <t>ユーザー一括インポート</t>
        </is>
      </c>
      <c r="H76" s="5" t="n"/>
      <c r="I76" s="6" t="n"/>
      <c r="J76" s="64" t="inlineStr">
        <is>
          <t>アップロード失敗 — データのみでヘッダーなし</t>
        </is>
      </c>
      <c r="K76" s="5" t="n"/>
      <c r="L76" s="6" t="n"/>
      <c r="M76" s="64" t="inlineStr">
        <is>
          <t>CSVファイルにヘッダー行がない。</t>
        </is>
      </c>
      <c r="N76" s="5" t="n"/>
      <c r="O76" s="5" t="n"/>
      <c r="P76" s="5" t="n"/>
      <c r="Q76" s="6" t="n"/>
      <c r="R76" s="64" t="inlineStr">
        <is>
          <t>① CSVファイルをアップロードする ヘッダーなし
② 「一括アップロード」をクリックする</t>
        </is>
      </c>
      <c r="S76" s="5" t="n"/>
      <c r="T76" s="5" t="n"/>
      <c r="U76" s="5" t="n"/>
      <c r="V76" s="5" t="n"/>
      <c r="W76" s="5" t="n"/>
      <c r="X76" s="6" t="n"/>
      <c r="Y76" s="64" t="inlineStr">
        <is>
          <t>「CSVファイルがテンプレートと一致しません。」エラーが表示される。</t>
        </is>
      </c>
      <c r="Z76" s="5" t="n"/>
      <c r="AA76" s="5" t="n"/>
      <c r="AB76" s="5" t="n"/>
      <c r="AC76" s="5" t="n"/>
      <c r="AD76" s="6" t="n"/>
      <c r="AE76" s="65" t="inlineStr">
        <is>
          <t>A</t>
        </is>
      </c>
      <c r="AF76" s="6" t="n"/>
      <c r="AG76" s="65" t="n"/>
      <c r="AH76" s="6" t="n"/>
      <c r="AI76" s="65" t="n"/>
      <c r="AJ76" s="6" t="n"/>
      <c r="AK76" s="65" t="n"/>
      <c r="AL76" s="6" t="n"/>
      <c r="AM76" s="65" t="n"/>
      <c r="AN76" s="5" t="n"/>
      <c r="AO76" s="6" t="n"/>
      <c r="AP76" s="65" t="n"/>
      <c r="AQ76" s="6" t="n"/>
      <c r="AR76" s="64" t="n"/>
      <c r="AS76" s="5" t="n"/>
      <c r="AT76" s="6" t="n"/>
      <c r="AU76" s="65" t="n"/>
      <c r="AV76" s="6" t="n"/>
      <c r="AW76" s="65" t="n"/>
      <c r="AX76" s="6" t="n"/>
      <c r="AY76" s="65" t="n"/>
      <c r="AZ76" s="6" t="n"/>
      <c r="BA76" s="65" t="n"/>
      <c r="BB76" s="5" t="n"/>
      <c r="BC76" s="6" t="n"/>
      <c r="BD76" s="65" t="n"/>
      <c r="BE76" s="6" t="n"/>
      <c r="BF76" s="64" t="n"/>
      <c r="BG76" s="5" t="n"/>
      <c r="BH76" s="6" t="n"/>
      <c r="BI76" s="66" t="n"/>
      <c r="BJ76" s="5" t="n"/>
      <c r="BK76" s="40" t="n"/>
    </row>
    <row r="77" ht="105" customHeight="1">
      <c r="A77" s="59" t="inlineStr">
        <is>
          <t>UAT-WEB-071</t>
        </is>
      </c>
      <c r="B77" s="6" t="n"/>
      <c r="C77" s="60" t="inlineStr">
        <is>
          <t>テナント管理者</t>
        </is>
      </c>
      <c r="D77" s="5" t="n"/>
      <c r="E77" s="5" t="n"/>
      <c r="F77" s="6" t="n"/>
      <c r="G77" s="60" t="inlineStr">
        <is>
          <t>ユーザー一括インポート</t>
        </is>
      </c>
      <c r="H77" s="5" t="n"/>
      <c r="I77" s="6" t="n"/>
      <c r="J77" s="60" t="inlineStr">
        <is>
          <t>アップロード失敗：姓に使用できない特殊文字を含む</t>
        </is>
      </c>
      <c r="K77" s="5" t="n"/>
      <c r="L77" s="6" t="n"/>
      <c r="M77" s="60" t="inlineStr">
        <is>
          <t>CSVファイルに姓 = 「田中!@#」の行がある。</t>
        </is>
      </c>
      <c r="N77" s="5" t="n"/>
      <c r="O77" s="5" t="n"/>
      <c r="P77" s="5" t="n"/>
      <c r="Q77" s="6" t="n"/>
      <c r="R77" s="60" t="inlineStr">
        <is>
          <t>① 姓に特殊文字を含むCSVファイルをアップロードする
② 「一括アップロード」をクリックする</t>
        </is>
      </c>
      <c r="S77" s="5" t="n"/>
      <c r="T77" s="5" t="n"/>
      <c r="U77" s="5" t="n"/>
      <c r="V77" s="5" t="n"/>
      <c r="W77" s="5" t="n"/>
      <c r="X77" s="6" t="n"/>
      <c r="Y77" s="60" t="inlineStr">
        <is>
          <t>「不正な文字が含まれています。もう一度確認してください。」エラーが表示され、エラーファイルのダウンロードリンクが表示される。
ユーザーは作成されない。
エラーファイルのエラー備考列に姓項目のエラーが記載される。</t>
        </is>
      </c>
      <c r="Z77" s="5" t="n"/>
      <c r="AA77" s="5" t="n"/>
      <c r="AB77" s="5" t="n"/>
      <c r="AC77" s="5" t="n"/>
      <c r="AD77" s="6" t="n"/>
      <c r="AE77" s="61" t="inlineStr">
        <is>
          <t>B</t>
        </is>
      </c>
      <c r="AF77" s="6" t="n"/>
      <c r="AG77" s="61" t="n"/>
      <c r="AH77" s="6" t="n"/>
      <c r="AI77" s="61" t="n"/>
      <c r="AJ77" s="6" t="n"/>
      <c r="AK77" s="61" t="n"/>
      <c r="AL77" s="6" t="n"/>
      <c r="AM77" s="61" t="n"/>
      <c r="AN77" s="5" t="n"/>
      <c r="AO77" s="6" t="n"/>
      <c r="AP77" s="61" t="n"/>
      <c r="AQ77" s="6" t="n"/>
      <c r="AR77" s="60" t="n"/>
      <c r="AS77" s="5" t="n"/>
      <c r="AT77" s="6" t="n"/>
      <c r="AU77" s="61" t="n"/>
      <c r="AV77" s="6" t="n"/>
      <c r="AW77" s="61" t="n"/>
      <c r="AX77" s="6" t="n"/>
      <c r="AY77" s="61" t="n"/>
      <c r="AZ77" s="6" t="n"/>
      <c r="BA77" s="61" t="n"/>
      <c r="BB77" s="5" t="n"/>
      <c r="BC77" s="6" t="n"/>
      <c r="BD77" s="61" t="n"/>
      <c r="BE77" s="6" t="n"/>
      <c r="BF77" s="60" t="n"/>
      <c r="BG77" s="5" t="n"/>
      <c r="BH77" s="6" t="n"/>
      <c r="BI77" s="62" t="n"/>
      <c r="BJ77" s="5" t="n"/>
      <c r="BK77" s="40" t="n"/>
    </row>
    <row r="78" ht="90" customHeight="1">
      <c r="A78" s="63" t="inlineStr">
        <is>
          <t>UAT-WEB-072</t>
        </is>
      </c>
      <c r="B78" s="6" t="n"/>
      <c r="C78" s="64" t="inlineStr">
        <is>
          <t>テナント管理者</t>
        </is>
      </c>
      <c r="D78" s="5" t="n"/>
      <c r="E78" s="5" t="n"/>
      <c r="F78" s="6" t="n"/>
      <c r="G78" s="64" t="inlineStr">
        <is>
          <t>ユーザー一括インポート</t>
        </is>
      </c>
      <c r="H78" s="5" t="n"/>
      <c r="I78" s="6" t="n"/>
      <c r="J78" s="64" t="inlineStr">
        <is>
          <t>アップロード失敗 — 姓カナにカタカナ以外を含む</t>
        </is>
      </c>
      <c r="K78" s="5" t="n"/>
      <c r="L78" s="6" t="n"/>
      <c r="M78" s="64" t="inlineStr">
        <is>
          <t>CSVファイルに姓カナ = 「tanaka」の行がある（小文字で、カタカナではない）。</t>
        </is>
      </c>
      <c r="N78" s="5" t="n"/>
      <c r="O78" s="5" t="n"/>
      <c r="P78" s="5" t="n"/>
      <c r="Q78" s="6" t="n"/>
      <c r="R78" s="64" t="inlineStr">
        <is>
          <t>① CSVファイルをアップロードする
② 「一括アップロード」をクリックする</t>
        </is>
      </c>
      <c r="S78" s="5" t="n"/>
      <c r="T78" s="5" t="n"/>
      <c r="U78" s="5" t="n"/>
      <c r="V78" s="5" t="n"/>
      <c r="W78" s="5" t="n"/>
      <c r="X78" s="6" t="n"/>
      <c r="Y78" s="64" t="inlineStr">
        <is>
          <t>「全角カタカナで入力してください」エラーが表示され、エラーファイルのダウンロードリンクが表示される。
ユーザーは作成されない。
エラーファイルのエラー備考列に姓カナ項目のエラーが記載される。</t>
        </is>
      </c>
      <c r="Z78" s="5" t="n"/>
      <c r="AA78" s="5" t="n"/>
      <c r="AB78" s="5" t="n"/>
      <c r="AC78" s="5" t="n"/>
      <c r="AD78" s="6" t="n"/>
      <c r="AE78" s="65" t="inlineStr">
        <is>
          <t>B</t>
        </is>
      </c>
      <c r="AF78" s="6" t="n"/>
      <c r="AG78" s="65" t="n"/>
      <c r="AH78" s="6" t="n"/>
      <c r="AI78" s="65" t="n"/>
      <c r="AJ78" s="6" t="n"/>
      <c r="AK78" s="65" t="n"/>
      <c r="AL78" s="6" t="n"/>
      <c r="AM78" s="65" t="n"/>
      <c r="AN78" s="5" t="n"/>
      <c r="AO78" s="6" t="n"/>
      <c r="AP78" s="65" t="n"/>
      <c r="AQ78" s="6" t="n"/>
      <c r="AR78" s="64" t="n"/>
      <c r="AS78" s="5" t="n"/>
      <c r="AT78" s="6" t="n"/>
      <c r="AU78" s="65" t="n"/>
      <c r="AV78" s="6" t="n"/>
      <c r="AW78" s="65" t="n"/>
      <c r="AX78" s="6" t="n"/>
      <c r="AY78" s="65" t="n"/>
      <c r="AZ78" s="6" t="n"/>
      <c r="BA78" s="65" t="n"/>
      <c r="BB78" s="5" t="n"/>
      <c r="BC78" s="6" t="n"/>
      <c r="BD78" s="65" t="n"/>
      <c r="BE78" s="6" t="n"/>
      <c r="BF78" s="64" t="n"/>
      <c r="BG78" s="5" t="n"/>
      <c r="BH78" s="6" t="n"/>
      <c r="BI78" s="66" t="n"/>
      <c r="BJ78" s="5" t="n"/>
      <c r="BK78" s="40" t="n"/>
    </row>
    <row r="79" ht="90" customHeight="1">
      <c r="A79" s="59" t="inlineStr">
        <is>
          <t>UAT-WEB-073</t>
        </is>
      </c>
      <c r="B79" s="6" t="n"/>
      <c r="C79" s="60" t="inlineStr">
        <is>
          <t>テナント管理者</t>
        </is>
      </c>
      <c r="D79" s="5" t="n"/>
      <c r="E79" s="5" t="n"/>
      <c r="F79" s="6" t="n"/>
      <c r="G79" s="60" t="inlineStr">
        <is>
          <t>ユーザー一括インポート</t>
        </is>
      </c>
      <c r="H79" s="5" t="n"/>
      <c r="I79" s="6" t="n"/>
      <c r="J79" s="60" t="inlineStr">
        <is>
          <t>アップロード失敗 — SIP番号が4桁ではない（固定電話テナント）</t>
        </is>
      </c>
      <c r="K79" s="5" t="n"/>
      <c r="L79" s="6" t="n"/>
      <c r="M79" s="60" t="inlineStr">
        <is>
          <t>CSVファイルにSIP = 99（2桁）の行がある。</t>
        </is>
      </c>
      <c r="N79" s="5" t="n"/>
      <c r="O79" s="5" t="n"/>
      <c r="P79" s="5" t="n"/>
      <c r="Q79" s="6" t="n"/>
      <c r="R79" s="60" t="inlineStr">
        <is>
          <t>① SIPが2桁のCSVファイルをアップロードする
② 「一括アップロード」をクリックする</t>
        </is>
      </c>
      <c r="S79" s="5" t="n"/>
      <c r="T79" s="5" t="n"/>
      <c r="U79" s="5" t="n"/>
      <c r="V79" s="5" t="n"/>
      <c r="W79" s="5" t="n"/>
      <c r="X79" s="6" t="n"/>
      <c r="Y79" s="60" t="inlineStr">
        <is>
          <t>エラーが表示され、エラーファイルのダウンロードリンクが表示される。
ユーザーは作成されない。
エラーファイルのエラー備考列にSIPは5桁である必要がある旨が記載される。</t>
        </is>
      </c>
      <c r="Z79" s="5" t="n"/>
      <c r="AA79" s="5" t="n"/>
      <c r="AB79" s="5" t="n"/>
      <c r="AC79" s="5" t="n"/>
      <c r="AD79" s="6" t="n"/>
      <c r="AE79" s="61" t="inlineStr">
        <is>
          <t>B</t>
        </is>
      </c>
      <c r="AF79" s="6" t="n"/>
      <c r="AG79" s="61" t="n"/>
      <c r="AH79" s="6" t="n"/>
      <c r="AI79" s="61" t="n"/>
      <c r="AJ79" s="6" t="n"/>
      <c r="AK79" s="61" t="n"/>
      <c r="AL79" s="6" t="n"/>
      <c r="AM79" s="61" t="n"/>
      <c r="AN79" s="5" t="n"/>
      <c r="AO79" s="6" t="n"/>
      <c r="AP79" s="61" t="n"/>
      <c r="AQ79" s="6" t="n"/>
      <c r="AR79" s="60" t="n"/>
      <c r="AS79" s="5" t="n"/>
      <c r="AT79" s="6" t="n"/>
      <c r="AU79" s="61" t="n"/>
      <c r="AV79" s="6" t="n"/>
      <c r="AW79" s="61" t="n"/>
      <c r="AX79" s="6" t="n"/>
      <c r="AY79" s="61" t="n"/>
      <c r="AZ79" s="6" t="n"/>
      <c r="BA79" s="61" t="n"/>
      <c r="BB79" s="5" t="n"/>
      <c r="BC79" s="6" t="n"/>
      <c r="BD79" s="61" t="n"/>
      <c r="BE79" s="6" t="n"/>
      <c r="BF79" s="60" t="n"/>
      <c r="BG79" s="5" t="n"/>
      <c r="BH79" s="6" t="n"/>
      <c r="BI79" s="62" t="n"/>
      <c r="BJ79" s="5" t="n"/>
      <c r="BK79" s="40" t="n"/>
    </row>
    <row r="80" ht="75" customHeight="1">
      <c r="A80" s="63" t="inlineStr">
        <is>
          <t>UAT-WEB-074</t>
        </is>
      </c>
      <c r="B80" s="6" t="n"/>
      <c r="C80" s="64" t="inlineStr">
        <is>
          <t>テナント管理者</t>
        </is>
      </c>
      <c r="D80" s="5" t="n"/>
      <c r="E80" s="5" t="n"/>
      <c r="F80" s="6" t="n"/>
      <c r="G80" s="64" t="inlineStr">
        <is>
          <t>ユーザー一括インポート</t>
        </is>
      </c>
      <c r="H80" s="5" t="n"/>
      <c r="I80" s="6" t="n"/>
      <c r="J80" s="64" t="inlineStr">
        <is>
          <t>アップロード失敗 — SIP番号が無効</t>
        </is>
      </c>
      <c r="K80" s="5" t="n"/>
      <c r="L80" s="6" t="n"/>
      <c r="M80" s="64" t="inlineStr">
        <is>
          <t>テナントID = 111 だが、SIP番号が11000–11899の範囲外である。</t>
        </is>
      </c>
      <c r="N80" s="5" t="n"/>
      <c r="O80" s="5" t="n"/>
      <c r="P80" s="5" t="n"/>
      <c r="Q80" s="6" t="n"/>
      <c r="R80" s="64" t="inlineStr">
        <is>
          <t>① SIPが11000–11899の範囲外のCSVファイルをアップロードする
② 「一括アップロード」をクリックする</t>
        </is>
      </c>
      <c r="S80" s="5" t="n"/>
      <c r="T80" s="5" t="n"/>
      <c r="U80" s="5" t="n"/>
      <c r="V80" s="5" t="n"/>
      <c r="W80" s="5" t="n"/>
      <c r="X80" s="6" t="n"/>
      <c r="Y80" s="64" t="inlineStr">
        <is>
          <t>エラーが表示され、エラーファイルのダウンロードリンクが表示される。
ユーザーは作成されない。
エラーファイルのエラー備考列にSIP番号が無効である旨が記載される。</t>
        </is>
      </c>
      <c r="Z80" s="5" t="n"/>
      <c r="AA80" s="5" t="n"/>
      <c r="AB80" s="5" t="n"/>
      <c r="AC80" s="5" t="n"/>
      <c r="AD80" s="6" t="n"/>
      <c r="AE80" s="65" t="inlineStr">
        <is>
          <t>B</t>
        </is>
      </c>
      <c r="AF80" s="6" t="n"/>
      <c r="AG80" s="65" t="n"/>
      <c r="AH80" s="6" t="n"/>
      <c r="AI80" s="65" t="n"/>
      <c r="AJ80" s="6" t="n"/>
      <c r="AK80" s="65" t="n"/>
      <c r="AL80" s="6" t="n"/>
      <c r="AM80" s="65" t="n"/>
      <c r="AN80" s="5" t="n"/>
      <c r="AO80" s="6" t="n"/>
      <c r="AP80" s="65" t="n"/>
      <c r="AQ80" s="6" t="n"/>
      <c r="AR80" s="64" t="n"/>
      <c r="AS80" s="5" t="n"/>
      <c r="AT80" s="6" t="n"/>
      <c r="AU80" s="65" t="n"/>
      <c r="AV80" s="6" t="n"/>
      <c r="AW80" s="65" t="n"/>
      <c r="AX80" s="6" t="n"/>
      <c r="AY80" s="65" t="n"/>
      <c r="AZ80" s="6" t="n"/>
      <c r="BA80" s="65" t="n"/>
      <c r="BB80" s="5" t="n"/>
      <c r="BC80" s="6" t="n"/>
      <c r="BD80" s="65" t="n"/>
      <c r="BE80" s="6" t="n"/>
      <c r="BF80" s="64" t="n"/>
      <c r="BG80" s="5" t="n"/>
      <c r="BH80" s="6" t="n"/>
      <c r="BI80" s="66" t="n"/>
      <c r="BJ80" s="5" t="n"/>
      <c r="BK80" s="40" t="n"/>
    </row>
    <row r="81" ht="75" customHeight="1">
      <c r="A81" s="59" t="inlineStr">
        <is>
          <t>UAT-WEB-075</t>
        </is>
      </c>
      <c r="B81" s="6" t="n"/>
      <c r="C81" s="60" t="inlineStr">
        <is>
          <t>テナント管理者</t>
        </is>
      </c>
      <c r="D81" s="5" t="n"/>
      <c r="E81" s="5" t="n"/>
      <c r="F81" s="6" t="n"/>
      <c r="G81" s="60" t="inlineStr">
        <is>
          <t>ユーザー一括インポート</t>
        </is>
      </c>
      <c r="H81" s="5" t="n"/>
      <c r="I81" s="6" t="n"/>
      <c r="J81" s="60" t="inlineStr">
        <is>
          <t>アップロード失敗 — SIP番号が無効</t>
        </is>
      </c>
      <c r="K81" s="5" t="n"/>
      <c r="L81" s="6" t="n"/>
      <c r="M81" s="60" t="inlineStr">
        <is>
          <t>テナントID = 500 だが、SIP番号が10000–99899の範囲外である。</t>
        </is>
      </c>
      <c r="N81" s="5" t="n"/>
      <c r="O81" s="5" t="n"/>
      <c r="P81" s="5" t="n"/>
      <c r="Q81" s="6" t="n"/>
      <c r="R81" s="60" t="inlineStr">
        <is>
          <t>① SIPが10000–99899の範囲外のCSVファイルをアップロードする
② 「一括アップロード」をクリックする</t>
        </is>
      </c>
      <c r="S81" s="5" t="n"/>
      <c r="T81" s="5" t="n"/>
      <c r="U81" s="5" t="n"/>
      <c r="V81" s="5" t="n"/>
      <c r="W81" s="5" t="n"/>
      <c r="X81" s="6" t="n"/>
      <c r="Y81" s="60" t="inlineStr">
        <is>
          <t>エラーが表示され、エラーファイルのダウンロードリンクが表示される。
ユーザーは作成されない。
エラーファイルのエラー備考列にSIP番号が無効である旨が記載される。</t>
        </is>
      </c>
      <c r="Z81" s="5" t="n"/>
      <c r="AA81" s="5" t="n"/>
      <c r="AB81" s="5" t="n"/>
      <c r="AC81" s="5" t="n"/>
      <c r="AD81" s="6" t="n"/>
      <c r="AE81" s="61" t="inlineStr">
        <is>
          <t>B</t>
        </is>
      </c>
      <c r="AF81" s="6" t="n"/>
      <c r="AG81" s="61" t="n"/>
      <c r="AH81" s="6" t="n"/>
      <c r="AI81" s="61" t="n"/>
      <c r="AJ81" s="6" t="n"/>
      <c r="AK81" s="61" t="n"/>
      <c r="AL81" s="6" t="n"/>
      <c r="AM81" s="61" t="n"/>
      <c r="AN81" s="5" t="n"/>
      <c r="AO81" s="6" t="n"/>
      <c r="AP81" s="61" t="n"/>
      <c r="AQ81" s="6" t="n"/>
      <c r="AR81" s="60" t="n"/>
      <c r="AS81" s="5" t="n"/>
      <c r="AT81" s="6" t="n"/>
      <c r="AU81" s="61" t="n"/>
      <c r="AV81" s="6" t="n"/>
      <c r="AW81" s="61" t="n"/>
      <c r="AX81" s="6" t="n"/>
      <c r="AY81" s="61" t="n"/>
      <c r="AZ81" s="6" t="n"/>
      <c r="BA81" s="61" t="n"/>
      <c r="BB81" s="5" t="n"/>
      <c r="BC81" s="6" t="n"/>
      <c r="BD81" s="61" t="n"/>
      <c r="BE81" s="6" t="n"/>
      <c r="BF81" s="60" t="n"/>
      <c r="BG81" s="5" t="n"/>
      <c r="BH81" s="6" t="n"/>
      <c r="BI81" s="62" t="n"/>
      <c r="BJ81" s="5" t="n"/>
      <c r="BK81" s="40" t="n"/>
    </row>
    <row r="82" ht="135" customHeight="1">
      <c r="A82" s="63" t="inlineStr">
        <is>
          <t>UAT-WEB-076</t>
        </is>
      </c>
      <c r="B82" s="6" t="n"/>
      <c r="C82" s="64" t="inlineStr">
        <is>
          <t>テナント管理者</t>
        </is>
      </c>
      <c r="D82" s="5" t="n"/>
      <c r="E82" s="5" t="n"/>
      <c r="F82" s="6" t="n"/>
      <c r="G82" s="64" t="inlineStr">
        <is>
          <t>ユーザー一括インポート</t>
        </is>
      </c>
      <c r="H82" s="5" t="n"/>
      <c r="I82" s="6" t="n"/>
      <c r="J82" s="64" t="inlineStr">
        <is>
          <t>アップロード失敗 — 同一CSVファイル内でメールアドレスが重複</t>
        </is>
      </c>
      <c r="K82" s="5" t="n"/>
      <c r="L82" s="6" t="n"/>
      <c r="M82" s="64" t="inlineStr">
        <is>
          <t>CSVファイル内に同じメールアドレスを使用する行が2行ある。</t>
        </is>
      </c>
      <c r="N82" s="5" t="n"/>
      <c r="O82" s="5" t="n"/>
      <c r="P82" s="5" t="n"/>
      <c r="Q82" s="6" t="n"/>
      <c r="R82" s="64" t="inlineStr">
        <is>
          <t>① メールアドレスが重複するファイルをアップロードする
② 「一括アップロード」をクリックする</t>
        </is>
      </c>
      <c r="S82" s="5" t="n"/>
      <c r="T82" s="5" t="n"/>
      <c r="U82" s="5" t="n"/>
      <c r="V82" s="5" t="n"/>
      <c r="W82" s="5" t="n"/>
      <c r="X82" s="6" t="n"/>
      <c r="Y82" s="64" t="inlineStr">
        <is>
          <t>[{0}が既に存在しています。別の値を入力してください。]エラーが表示され、エラーファイルのダウンロードリンクが表示される。
- {0}：ユーザーが入力した値で、すでに存在する値と重複しています。
ユーザーは作成されない。
エラーファイルのエラー備考列にメールアドレス重複エラーが記載される。</t>
        </is>
      </c>
      <c r="Z82" s="5" t="n"/>
      <c r="AA82" s="5" t="n"/>
      <c r="AB82" s="5" t="n"/>
      <c r="AC82" s="5" t="n"/>
      <c r="AD82" s="6" t="n"/>
      <c r="AE82" s="65" t="inlineStr">
        <is>
          <t>B</t>
        </is>
      </c>
      <c r="AF82" s="6" t="n"/>
      <c r="AG82" s="65" t="n"/>
      <c r="AH82" s="6" t="n"/>
      <c r="AI82" s="65" t="n"/>
      <c r="AJ82" s="6" t="n"/>
      <c r="AK82" s="65" t="n"/>
      <c r="AL82" s="6" t="n"/>
      <c r="AM82" s="65" t="n"/>
      <c r="AN82" s="5" t="n"/>
      <c r="AO82" s="6" t="n"/>
      <c r="AP82" s="65" t="n"/>
      <c r="AQ82" s="6" t="n"/>
      <c r="AR82" s="64" t="n"/>
      <c r="AS82" s="5" t="n"/>
      <c r="AT82" s="6" t="n"/>
      <c r="AU82" s="65" t="n"/>
      <c r="AV82" s="6" t="n"/>
      <c r="AW82" s="65" t="n"/>
      <c r="AX82" s="6" t="n"/>
      <c r="AY82" s="65" t="n"/>
      <c r="AZ82" s="6" t="n"/>
      <c r="BA82" s="65" t="n"/>
      <c r="BB82" s="5" t="n"/>
      <c r="BC82" s="6" t="n"/>
      <c r="BD82" s="65" t="n"/>
      <c r="BE82" s="6" t="n"/>
      <c r="BF82" s="64" t="n"/>
      <c r="BG82" s="5" t="n"/>
      <c r="BH82" s="6" t="n"/>
      <c r="BI82" s="66" t="n"/>
      <c r="BJ82" s="5" t="n"/>
      <c r="BK82" s="40" t="n"/>
    </row>
    <row r="83" ht="60" customHeight="1">
      <c r="A83" s="59" t="inlineStr">
        <is>
          <t>UAT-WEB-077</t>
        </is>
      </c>
      <c r="B83" s="6" t="n"/>
      <c r="C83" s="60" t="inlineStr">
        <is>
          <t>テナント管理者</t>
        </is>
      </c>
      <c r="D83" s="5" t="n"/>
      <c r="E83" s="5" t="n"/>
      <c r="F83" s="6" t="n"/>
      <c r="G83" s="60" t="inlineStr">
        <is>
          <t>ユーザー一括インポート</t>
        </is>
      </c>
      <c r="H83" s="5" t="n"/>
      <c r="I83" s="6" t="n"/>
      <c r="J83" s="60" t="inlineStr">
        <is>
          <t>メンテナンス中にインポートが無効化されることを確認</t>
        </is>
      </c>
      <c r="K83" s="5" t="n"/>
      <c r="L83" s="6" t="n"/>
      <c r="M83" s="60" t="inlineStr">
        <is>
          <t>岡田電機管理者が管理画面で「メンテナンス開始」ボタンをクリックし、メンテナンスを実施中である。</t>
        </is>
      </c>
      <c r="N83" s="5" t="n"/>
      <c r="O83" s="5" t="n"/>
      <c r="P83" s="5" t="n"/>
      <c r="Q83" s="6" t="n"/>
      <c r="R83" s="60" t="inlineStr">
        <is>
          <t>① テナント管理者 ファイルアップロードを実行する</t>
        </is>
      </c>
      <c r="S83" s="5" t="n"/>
      <c r="T83" s="5" t="n"/>
      <c r="U83" s="5" t="n"/>
      <c r="V83" s="5" t="n"/>
      <c r="W83" s="5" t="n"/>
      <c r="X83" s="6" t="n"/>
      <c r="Y83" s="60" t="inlineStr">
        <is>
          <t>インポート機能が無効化され、システムメンテナンス中のメッセージが表示される。</t>
        </is>
      </c>
      <c r="Z83" s="5" t="n"/>
      <c r="AA83" s="5" t="n"/>
      <c r="AB83" s="5" t="n"/>
      <c r="AC83" s="5" t="n"/>
      <c r="AD83" s="6" t="n"/>
      <c r="AE83" s="61" t="inlineStr">
        <is>
          <t>N</t>
        </is>
      </c>
      <c r="AF83" s="6" t="n"/>
      <c r="AG83" s="61" t="n"/>
      <c r="AH83" s="6" t="n"/>
      <c r="AI83" s="61" t="n"/>
      <c r="AJ83" s="6" t="n"/>
      <c r="AK83" s="61" t="n"/>
      <c r="AL83" s="6" t="n"/>
      <c r="AM83" s="61" t="n"/>
      <c r="AN83" s="5" t="n"/>
      <c r="AO83" s="6" t="n"/>
      <c r="AP83" s="61" t="n"/>
      <c r="AQ83" s="6" t="n"/>
      <c r="AR83" s="60" t="n"/>
      <c r="AS83" s="5" t="n"/>
      <c r="AT83" s="6" t="n"/>
      <c r="AU83" s="61" t="n"/>
      <c r="AV83" s="6" t="n"/>
      <c r="AW83" s="61" t="n"/>
      <c r="AX83" s="6" t="n"/>
      <c r="AY83" s="61" t="n"/>
      <c r="AZ83" s="6" t="n"/>
      <c r="BA83" s="61" t="n"/>
      <c r="BB83" s="5" t="n"/>
      <c r="BC83" s="6" t="n"/>
      <c r="BD83" s="61" t="n"/>
      <c r="BE83" s="6" t="n"/>
      <c r="BF83" s="60" t="n"/>
      <c r="BG83" s="5" t="n"/>
      <c r="BH83" s="6" t="n"/>
      <c r="BI83" s="62" t="n"/>
      <c r="BJ83" s="5" t="n"/>
      <c r="BK83" s="40" t="n"/>
    </row>
    <row r="84" ht="60" customHeight="1">
      <c r="A84" s="63" t="inlineStr">
        <is>
          <t>UAT-WEB-078</t>
        </is>
      </c>
      <c r="B84" s="6" t="n"/>
      <c r="C84" s="64" t="inlineStr">
        <is>
          <t>テナント管理者</t>
        </is>
      </c>
      <c r="D84" s="5" t="n"/>
      <c r="E84" s="5" t="n"/>
      <c r="F84" s="6" t="n"/>
      <c r="G84" s="64" t="inlineStr">
        <is>
          <t>ユーザー一括インポート</t>
        </is>
      </c>
      <c r="H84" s="5" t="n"/>
      <c r="I84" s="6" t="n"/>
      <c r="J84" s="64" t="inlineStr">
        <is>
          <t>メンテナンス終了後にインポートが正常復旧する</t>
        </is>
      </c>
      <c r="K84" s="5" t="n"/>
      <c r="L84" s="6" t="n"/>
      <c r="M84" s="64" t="inlineStr">
        <is>
          <t>岡田電機管理者が管理画面で「メンテナンス終了」ボタンをクリックし、メンテナンスを終了済みである。</t>
        </is>
      </c>
      <c r="N84" s="5" t="n"/>
      <c r="O84" s="5" t="n"/>
      <c r="P84" s="5" t="n"/>
      <c r="Q84" s="6" t="n"/>
      <c r="R84" s="64" t="inlineStr">
        <is>
          <t>① テナント管理者 ファイルアップロードを実行する</t>
        </is>
      </c>
      <c r="S84" s="5" t="n"/>
      <c r="T84" s="5" t="n"/>
      <c r="U84" s="5" t="n"/>
      <c r="V84" s="5" t="n"/>
      <c r="W84" s="5" t="n"/>
      <c r="X84" s="6" t="n"/>
      <c r="Y84" s="64" t="inlineStr">
        <is>
          <t>インポート機能が通常どおり再開する。</t>
        </is>
      </c>
      <c r="Z84" s="5" t="n"/>
      <c r="AA84" s="5" t="n"/>
      <c r="AB84" s="5" t="n"/>
      <c r="AC84" s="5" t="n"/>
      <c r="AD84" s="6" t="n"/>
      <c r="AE84" s="65" t="inlineStr">
        <is>
          <t>N</t>
        </is>
      </c>
      <c r="AF84" s="6" t="n"/>
      <c r="AG84" s="65" t="n"/>
      <c r="AH84" s="6" t="n"/>
      <c r="AI84" s="65" t="n"/>
      <c r="AJ84" s="6" t="n"/>
      <c r="AK84" s="65" t="n"/>
      <c r="AL84" s="6" t="n"/>
      <c r="AM84" s="65" t="n"/>
      <c r="AN84" s="5" t="n"/>
      <c r="AO84" s="6" t="n"/>
      <c r="AP84" s="65" t="n"/>
      <c r="AQ84" s="6" t="n"/>
      <c r="AR84" s="64" t="n"/>
      <c r="AS84" s="5" t="n"/>
      <c r="AT84" s="6" t="n"/>
      <c r="AU84" s="65" t="n"/>
      <c r="AV84" s="6" t="n"/>
      <c r="AW84" s="65" t="n"/>
      <c r="AX84" s="6" t="n"/>
      <c r="AY84" s="65" t="n"/>
      <c r="AZ84" s="6" t="n"/>
      <c r="BA84" s="65" t="n"/>
      <c r="BB84" s="5" t="n"/>
      <c r="BC84" s="6" t="n"/>
      <c r="BD84" s="65" t="n"/>
      <c r="BE84" s="6" t="n"/>
      <c r="BF84" s="64" t="n"/>
      <c r="BG84" s="5" t="n"/>
      <c r="BH84" s="6" t="n"/>
      <c r="BI84" s="66" t="n"/>
      <c r="BJ84" s="5" t="n"/>
      <c r="BK84" s="40" t="n"/>
    </row>
    <row r="85" ht="45" customHeight="1">
      <c r="A85" s="59" t="inlineStr">
        <is>
          <t>UAT-WEB-079</t>
        </is>
      </c>
      <c r="B85" s="6" t="n"/>
      <c r="C85" s="60" t="inlineStr">
        <is>
          <t>テナント管理者</t>
        </is>
      </c>
      <c r="D85" s="5" t="n"/>
      <c r="E85" s="5" t="n"/>
      <c r="F85" s="6" t="n"/>
      <c r="G85" s="60" t="inlineStr">
        <is>
          <t>ユーザー削除</t>
        </is>
      </c>
      <c r="H85" s="5" t="n"/>
      <c r="I85" s="6" t="n"/>
      <c r="J85" s="60" t="inlineStr">
        <is>
          <t>ユーザー削除成功</t>
        </is>
      </c>
      <c r="K85" s="5" t="n"/>
      <c r="L85" s="6" t="n"/>
      <c r="M85" s="60" t="inlineStr">
        <is>
          <t>あり ユーザー 状態 「利用中」</t>
        </is>
      </c>
      <c r="N85" s="5" t="n"/>
      <c r="O85" s="5" t="n"/>
      <c r="P85" s="5" t="n"/>
      <c r="Q85" s="6" t="n"/>
      <c r="R85" s="60" t="inlineStr">
        <is>
          <t>① ユーザー詳細を開く
② 「削除」をクリックする
③ ポップアップを確認する</t>
        </is>
      </c>
      <c r="S85" s="5" t="n"/>
      <c r="T85" s="5" t="n"/>
      <c r="U85" s="5" t="n"/>
      <c r="V85" s="5" t="n"/>
      <c r="W85" s="5" t="n"/>
      <c r="X85" s="6" t="n"/>
      <c r="Y85" s="60" t="inlineStr">
        <is>
          <t>ユーザー状態が「削除済み」になり、ユーザーはアプリにログインできない。データはデータベースに残る。</t>
        </is>
      </c>
      <c r="Z85" s="5" t="n"/>
      <c r="AA85" s="5" t="n"/>
      <c r="AB85" s="5" t="n"/>
      <c r="AC85" s="5" t="n"/>
      <c r="AD85" s="6" t="n"/>
      <c r="AE85" s="61" t="inlineStr">
        <is>
          <t>N</t>
        </is>
      </c>
      <c r="AF85" s="6" t="n"/>
      <c r="AG85" s="61" t="n"/>
      <c r="AH85" s="6" t="n"/>
      <c r="AI85" s="61" t="n"/>
      <c r="AJ85" s="6" t="n"/>
      <c r="AK85" s="61" t="n"/>
      <c r="AL85" s="6" t="n"/>
      <c r="AM85" s="61" t="n"/>
      <c r="AN85" s="5" t="n"/>
      <c r="AO85" s="6" t="n"/>
      <c r="AP85" s="61" t="n"/>
      <c r="AQ85" s="6" t="n"/>
      <c r="AR85" s="60" t="n"/>
      <c r="AS85" s="5" t="n"/>
      <c r="AT85" s="6" t="n"/>
      <c r="AU85" s="61" t="n"/>
      <c r="AV85" s="6" t="n"/>
      <c r="AW85" s="61" t="n"/>
      <c r="AX85" s="6" t="n"/>
      <c r="AY85" s="61" t="n"/>
      <c r="AZ85" s="6" t="n"/>
      <c r="BA85" s="61" t="n"/>
      <c r="BB85" s="5" t="n"/>
      <c r="BC85" s="6" t="n"/>
      <c r="BD85" s="61" t="n"/>
      <c r="BE85" s="6" t="n"/>
      <c r="BF85" s="60" t="n"/>
      <c r="BG85" s="5" t="n"/>
      <c r="BH85" s="6" t="n"/>
      <c r="BI85" s="62" t="n"/>
      <c r="BJ85" s="5" t="n"/>
      <c r="BK85" s="40" t="n"/>
    </row>
    <row r="86" ht="45" customHeight="1">
      <c r="A86" s="63" t="inlineStr">
        <is>
          <t>UAT-WEB-080</t>
        </is>
      </c>
      <c r="B86" s="6" t="n"/>
      <c r="C86" s="64" t="inlineStr">
        <is>
          <t>テナント管理者</t>
        </is>
      </c>
      <c r="D86" s="5" t="n"/>
      <c r="E86" s="5" t="n"/>
      <c r="F86" s="6" t="n"/>
      <c r="G86" s="64" t="inlineStr">
        <is>
          <t>ユーザー削除</t>
        </is>
      </c>
      <c r="H86" s="5" t="n"/>
      <c r="I86" s="6" t="n"/>
      <c r="J86" s="64" t="inlineStr">
        <is>
          <t>「削除済み」ユーザーが一覧に表示され続けることを確認</t>
        </is>
      </c>
      <c r="K86" s="5" t="n"/>
      <c r="L86" s="6" t="n"/>
      <c r="M86" s="64" t="inlineStr">
        <is>
          <t>TA-D01でユーザー削除済み</t>
        </is>
      </c>
      <c r="N86" s="5" t="n"/>
      <c r="O86" s="5" t="n"/>
      <c r="P86" s="5" t="n"/>
      <c r="Q86" s="6" t="n"/>
      <c r="R86" s="64" t="inlineStr">
        <is>
          <t>① 一覧表示 ユーザー
② 削除したユーザーを検索する</t>
        </is>
      </c>
      <c r="S86" s="5" t="n"/>
      <c r="T86" s="5" t="n"/>
      <c r="U86" s="5" t="n"/>
      <c r="V86" s="5" t="n"/>
      <c r="W86" s="5" t="n"/>
      <c r="X86" s="6" t="n"/>
      <c r="Y86" s="64" t="inlineStr">
        <is>
          <t>「削除済み」ユーザーは一覧に表示され続け、情報参照は可能だが再編集・再削除はできない。</t>
        </is>
      </c>
      <c r="Z86" s="5" t="n"/>
      <c r="AA86" s="5" t="n"/>
      <c r="AB86" s="5" t="n"/>
      <c r="AC86" s="5" t="n"/>
      <c r="AD86" s="6" t="n"/>
      <c r="AE86" s="65" t="inlineStr">
        <is>
          <t>N</t>
        </is>
      </c>
      <c r="AF86" s="6" t="n"/>
      <c r="AG86" s="65" t="n"/>
      <c r="AH86" s="6" t="n"/>
      <c r="AI86" s="65" t="n"/>
      <c r="AJ86" s="6" t="n"/>
      <c r="AK86" s="65" t="n"/>
      <c r="AL86" s="6" t="n"/>
      <c r="AM86" s="65" t="n"/>
      <c r="AN86" s="5" t="n"/>
      <c r="AO86" s="6" t="n"/>
      <c r="AP86" s="65" t="n"/>
      <c r="AQ86" s="6" t="n"/>
      <c r="AR86" s="64" t="n"/>
      <c r="AS86" s="5" t="n"/>
      <c r="AT86" s="6" t="n"/>
      <c r="AU86" s="65" t="n"/>
      <c r="AV86" s="6" t="n"/>
      <c r="AW86" s="65" t="n"/>
      <c r="AX86" s="6" t="n"/>
      <c r="AY86" s="65" t="n"/>
      <c r="AZ86" s="6" t="n"/>
      <c r="BA86" s="65" t="n"/>
      <c r="BB86" s="5" t="n"/>
      <c r="BC86" s="6" t="n"/>
      <c r="BD86" s="65" t="n"/>
      <c r="BE86" s="6" t="n"/>
      <c r="BF86" s="64" t="n"/>
      <c r="BG86" s="5" t="n"/>
      <c r="BH86" s="6" t="n"/>
      <c r="BI86" s="66" t="n"/>
      <c r="BJ86" s="5" t="n"/>
      <c r="BK86" s="40" t="n"/>
    </row>
    <row r="87" ht="75" customHeight="1">
      <c r="A87" s="59" t="inlineStr">
        <is>
          <t>UAT-WEB-081</t>
        </is>
      </c>
      <c r="B87" s="6" t="n"/>
      <c r="C87" s="60" t="inlineStr">
        <is>
          <t>テナント管理者</t>
        </is>
      </c>
      <c r="D87" s="5" t="n"/>
      <c r="E87" s="5" t="n"/>
      <c r="F87" s="6" t="n"/>
      <c r="G87" s="60" t="inlineStr">
        <is>
          <t>ユーザー削除</t>
        </is>
      </c>
      <c r="H87" s="5" t="n"/>
      <c r="I87" s="6" t="n"/>
      <c r="J87" s="60" t="inlineStr">
        <is>
          <t>岡田電機がメンテナンス実施後、SIPアカウントがMVEから削除される</t>
        </is>
      </c>
      <c r="K87" s="5" t="n"/>
      <c r="L87" s="6" t="n"/>
      <c r="M87" s="60" t="inlineStr">
        <is>
          <t>ユーザー状態が「削除済み」。岡田電機管理者がウェブ管理画面でCSV出力し、MVEへインポートし、メンテナンスを終了済み</t>
        </is>
      </c>
      <c r="N87" s="5" t="n"/>
      <c r="O87" s="5" t="n"/>
      <c r="P87" s="5" t="n"/>
      <c r="Q87" s="6" t="n"/>
      <c r="R87" s="60" t="inlineStr">
        <is>
          <t>① 岡田電機にメンテナンス手順が完了したことを確認する
② SIP状態を確認する</t>
        </is>
      </c>
      <c r="S87" s="5" t="n"/>
      <c r="T87" s="5" t="n"/>
      <c r="U87" s="5" t="n"/>
      <c r="V87" s="5" t="n"/>
      <c r="W87" s="5" t="n"/>
      <c r="X87" s="6" t="n"/>
      <c r="Y87" s="60" t="inlineStr">
        <is>
          <t>SIPアカウントがMVEシステムから削除される。管理データベース内のSIP情報も削除される（ユーザー一覧画面では、削除済みユーザーにSIP情報が紐づかなくなる）。</t>
        </is>
      </c>
      <c r="Z87" s="5" t="n"/>
      <c r="AA87" s="5" t="n"/>
      <c r="AB87" s="5" t="n"/>
      <c r="AC87" s="5" t="n"/>
      <c r="AD87" s="6" t="n"/>
      <c r="AE87" s="61" t="inlineStr">
        <is>
          <t>B</t>
        </is>
      </c>
      <c r="AF87" s="6" t="n"/>
      <c r="AG87" s="61" t="n"/>
      <c r="AH87" s="6" t="n"/>
      <c r="AI87" s="61" t="n"/>
      <c r="AJ87" s="6" t="n"/>
      <c r="AK87" s="61" t="n"/>
      <c r="AL87" s="6" t="n"/>
      <c r="AM87" s="61" t="n"/>
      <c r="AN87" s="5" t="n"/>
      <c r="AO87" s="6" t="n"/>
      <c r="AP87" s="61" t="n"/>
      <c r="AQ87" s="6" t="n"/>
      <c r="AR87" s="60" t="n"/>
      <c r="AS87" s="5" t="n"/>
      <c r="AT87" s="6" t="n"/>
      <c r="AU87" s="61" t="n"/>
      <c r="AV87" s="6" t="n"/>
      <c r="AW87" s="61" t="n"/>
      <c r="AX87" s="6" t="n"/>
      <c r="AY87" s="61" t="n"/>
      <c r="AZ87" s="6" t="n"/>
      <c r="BA87" s="61" t="n"/>
      <c r="BB87" s="5" t="n"/>
      <c r="BC87" s="6" t="n"/>
      <c r="BD87" s="61" t="n"/>
      <c r="BE87" s="6" t="n"/>
      <c r="BF87" s="60" t="n"/>
      <c r="BG87" s="5" t="n"/>
      <c r="BH87" s="6" t="n"/>
      <c r="BI87" s="62" t="n"/>
      <c r="BJ87" s="5" t="n"/>
      <c r="BK87" s="40" t="n"/>
    </row>
    <row r="88" ht="45" customHeight="1">
      <c r="A88" s="63" t="inlineStr">
        <is>
          <t>UAT-WEB-082</t>
        </is>
      </c>
      <c r="B88" s="6" t="n"/>
      <c r="C88" s="64" t="inlineStr">
        <is>
          <t>岡田電機管理者</t>
        </is>
      </c>
      <c r="D88" s="5" t="n"/>
      <c r="E88" s="5" t="n"/>
      <c r="F88" s="6" t="n"/>
      <c r="G88" s="64" t="inlineStr">
        <is>
          <t>ログイン・セキュリティ</t>
        </is>
      </c>
      <c r="H88" s="5" t="n"/>
      <c r="I88" s="6" t="n"/>
      <c r="J88" s="64" t="inlineStr">
        <is>
          <t>岡田電機管理者が正常にログインする（IPホワイトリスト）</t>
        </is>
      </c>
      <c r="K88" s="5" t="n"/>
      <c r="L88" s="6" t="n"/>
      <c r="M88" s="64" t="inlineStr">
        <is>
          <t>有効な岡田電機管理者アカウント。IPはホワイトリスト内。</t>
        </is>
      </c>
      <c r="N88" s="5" t="n"/>
      <c r="O88" s="5" t="n"/>
      <c r="P88" s="5" t="n"/>
      <c r="Q88" s="6" t="n"/>
      <c r="R88" s="64" t="inlineStr">
        <is>
          <t>① ログインURLにアクセスする
② メールアドレスとパスワードを入力する
③ 「ログイン」をクリックする</t>
        </is>
      </c>
      <c r="S88" s="5" t="n"/>
      <c r="T88" s="5" t="n"/>
      <c r="U88" s="5" t="n"/>
      <c r="V88" s="5" t="n"/>
      <c r="W88" s="5" t="n"/>
      <c r="X88" s="6" t="n"/>
      <c r="Y88" s="64" t="inlineStr">
        <is>
          <t>岡田電機管理画面へ直接遷移し、OTP画面は表示されない。</t>
        </is>
      </c>
      <c r="Z88" s="5" t="n"/>
      <c r="AA88" s="5" t="n"/>
      <c r="AB88" s="5" t="n"/>
      <c r="AC88" s="5" t="n"/>
      <c r="AD88" s="6" t="n"/>
      <c r="AE88" s="65" t="inlineStr">
        <is>
          <t>N</t>
        </is>
      </c>
      <c r="AF88" s="6" t="n"/>
      <c r="AG88" s="65" t="n"/>
      <c r="AH88" s="6" t="n"/>
      <c r="AI88" s="65" t="n"/>
      <c r="AJ88" s="6" t="n"/>
      <c r="AK88" s="65" t="n"/>
      <c r="AL88" s="6" t="n"/>
      <c r="AM88" s="65" t="n"/>
      <c r="AN88" s="5" t="n"/>
      <c r="AO88" s="6" t="n"/>
      <c r="AP88" s="65" t="n"/>
      <c r="AQ88" s="6" t="n"/>
      <c r="AR88" s="64" t="n"/>
      <c r="AS88" s="5" t="n"/>
      <c r="AT88" s="6" t="n"/>
      <c r="AU88" s="65" t="n"/>
      <c r="AV88" s="6" t="n"/>
      <c r="AW88" s="65" t="n"/>
      <c r="AX88" s="6" t="n"/>
      <c r="AY88" s="65" t="n"/>
      <c r="AZ88" s="6" t="n"/>
      <c r="BA88" s="65" t="n"/>
      <c r="BB88" s="5" t="n"/>
      <c r="BC88" s="6" t="n"/>
      <c r="BD88" s="65" t="n"/>
      <c r="BE88" s="6" t="n"/>
      <c r="BF88" s="64" t="n"/>
      <c r="BG88" s="5" t="n"/>
      <c r="BH88" s="6" t="n"/>
      <c r="BI88" s="66" t="n"/>
      <c r="BJ88" s="5" t="n"/>
      <c r="BK88" s="40" t="n"/>
    </row>
    <row r="89" ht="45" customHeight="1">
      <c r="A89" s="59" t="inlineStr">
        <is>
          <t>UAT-WEB-083</t>
        </is>
      </c>
      <c r="B89" s="6" t="n"/>
      <c r="C89" s="60" t="inlineStr">
        <is>
          <t>岡田電機管理者</t>
        </is>
      </c>
      <c r="D89" s="5" t="n"/>
      <c r="E89" s="5" t="n"/>
      <c r="F89" s="6" t="n"/>
      <c r="G89" s="60" t="inlineStr">
        <is>
          <t>ログイン・セキュリティ</t>
        </is>
      </c>
      <c r="H89" s="5" t="n"/>
      <c r="I89" s="6" t="n"/>
      <c r="J89" s="60" t="inlineStr">
        <is>
          <t>ログイン失敗 — IPがホワイトリスト外（システム/岡田電機管理者）</t>
        </is>
      </c>
      <c r="K89" s="5" t="n"/>
      <c r="L89" s="6" t="n"/>
      <c r="M89" s="60" t="inlineStr">
        <is>
          <t>現在のIPはホワイトリストに登録されていない</t>
        </is>
      </c>
      <c r="N89" s="5" t="n"/>
      <c r="O89" s="5" t="n"/>
      <c r="P89" s="5" t="n"/>
      <c r="Q89" s="6" t="n"/>
      <c r="R89" s="60" t="inlineStr">
        <is>
          <t>① 情報 ログイン 有効 の システム管理者
② 「ログイン」をクリックする</t>
        </is>
      </c>
      <c r="S89" s="5" t="n"/>
      <c r="T89" s="5" t="n"/>
      <c r="U89" s="5" t="n"/>
      <c r="V89" s="5" t="n"/>
      <c r="W89" s="5" t="n"/>
      <c r="X89" s="6" t="n"/>
      <c r="Y89" s="60" t="inlineStr">
        <is>
          <t>許可されていないIPのエラーメッセージが表示され、アクセスが拒否される。</t>
        </is>
      </c>
      <c r="Z89" s="5" t="n"/>
      <c r="AA89" s="5" t="n"/>
      <c r="AB89" s="5" t="n"/>
      <c r="AC89" s="5" t="n"/>
      <c r="AD89" s="6" t="n"/>
      <c r="AE89" s="61" t="inlineStr">
        <is>
          <t>N</t>
        </is>
      </c>
      <c r="AF89" s="6" t="n"/>
      <c r="AG89" s="61" t="n"/>
      <c r="AH89" s="6" t="n"/>
      <c r="AI89" s="61" t="n"/>
      <c r="AJ89" s="6" t="n"/>
      <c r="AK89" s="61" t="n"/>
      <c r="AL89" s="6" t="n"/>
      <c r="AM89" s="61" t="n"/>
      <c r="AN89" s="5" t="n"/>
      <c r="AO89" s="6" t="n"/>
      <c r="AP89" s="61" t="n"/>
      <c r="AQ89" s="6" t="n"/>
      <c r="AR89" s="60" t="n"/>
      <c r="AS89" s="5" t="n"/>
      <c r="AT89" s="6" t="n"/>
      <c r="AU89" s="61" t="n"/>
      <c r="AV89" s="6" t="n"/>
      <c r="AW89" s="61" t="n"/>
      <c r="AX89" s="6" t="n"/>
      <c r="AY89" s="61" t="n"/>
      <c r="AZ89" s="6" t="n"/>
      <c r="BA89" s="61" t="n"/>
      <c r="BB89" s="5" t="n"/>
      <c r="BC89" s="6" t="n"/>
      <c r="BD89" s="61" t="n"/>
      <c r="BE89" s="6" t="n"/>
      <c r="BF89" s="60" t="n"/>
      <c r="BG89" s="5" t="n"/>
      <c r="BH89" s="6" t="n"/>
      <c r="BI89" s="62" t="n"/>
      <c r="BJ89" s="5" t="n"/>
      <c r="BK89" s="40" t="n"/>
    </row>
    <row r="90" ht="45" customHeight="1">
      <c r="A90" s="63" t="inlineStr">
        <is>
          <t>UAT-WEB-084</t>
        </is>
      </c>
      <c r="B90" s="6" t="n"/>
      <c r="C90" s="64" t="inlineStr">
        <is>
          <t>岡田電機管理者</t>
        </is>
      </c>
      <c r="D90" s="5" t="n"/>
      <c r="E90" s="5" t="n"/>
      <c r="F90" s="6" t="n"/>
      <c r="G90" s="64" t="inlineStr">
        <is>
          <t>テナント_IPグループ名管理</t>
        </is>
      </c>
      <c r="H90" s="5" t="n"/>
      <c r="I90" s="6" t="n"/>
      <c r="J90" s="64" t="inlineStr">
        <is>
          <t>テナントIDでテナントを検索</t>
        </is>
      </c>
      <c r="K90" s="5" t="n"/>
      <c r="L90" s="6" t="n"/>
      <c r="M90" s="64" t="inlineStr">
        <is>
          <t>一覧内に少なくとも2件のテナントが存在する</t>
        </is>
      </c>
      <c r="N90" s="5" t="n"/>
      <c r="O90" s="5" t="n"/>
      <c r="P90" s="5" t="n"/>
      <c r="Q90" s="6" t="n"/>
      <c r="R90" s="64" t="inlineStr">
        <is>
          <t>① テナントID欄にテナントコードを入力する
② 「検索」をクリックする</t>
        </is>
      </c>
      <c r="S90" s="5" t="n"/>
      <c r="T90" s="5" t="n"/>
      <c r="U90" s="5" t="n"/>
      <c r="V90" s="5" t="n"/>
      <c r="W90" s="5" t="n"/>
      <c r="X90" s="6" t="n"/>
      <c r="Y90" s="64" t="inlineStr">
        <is>
          <t>IDに一致するテナントが正しく絞り込まれる。</t>
        </is>
      </c>
      <c r="Z90" s="5" t="n"/>
      <c r="AA90" s="5" t="n"/>
      <c r="AB90" s="5" t="n"/>
      <c r="AC90" s="5" t="n"/>
      <c r="AD90" s="6" t="n"/>
      <c r="AE90" s="65" t="inlineStr">
        <is>
          <t>N</t>
        </is>
      </c>
      <c r="AF90" s="6" t="n"/>
      <c r="AG90" s="65" t="n"/>
      <c r="AH90" s="6" t="n"/>
      <c r="AI90" s="65" t="n"/>
      <c r="AJ90" s="6" t="n"/>
      <c r="AK90" s="65" t="n"/>
      <c r="AL90" s="6" t="n"/>
      <c r="AM90" s="65" t="n"/>
      <c r="AN90" s="5" t="n"/>
      <c r="AO90" s="6" t="n"/>
      <c r="AP90" s="65" t="n"/>
      <c r="AQ90" s="6" t="n"/>
      <c r="AR90" s="64" t="n"/>
      <c r="AS90" s="5" t="n"/>
      <c r="AT90" s="6" t="n"/>
      <c r="AU90" s="65" t="n"/>
      <c r="AV90" s="6" t="n"/>
      <c r="AW90" s="65" t="n"/>
      <c r="AX90" s="6" t="n"/>
      <c r="AY90" s="65" t="n"/>
      <c r="AZ90" s="6" t="n"/>
      <c r="BA90" s="65" t="n"/>
      <c r="BB90" s="5" t="n"/>
      <c r="BC90" s="6" t="n"/>
      <c r="BD90" s="65" t="n"/>
      <c r="BE90" s="6" t="n"/>
      <c r="BF90" s="64" t="n"/>
      <c r="BG90" s="5" t="n"/>
      <c r="BH90" s="6" t="n"/>
      <c r="BI90" s="66" t="n"/>
      <c r="BJ90" s="5" t="n"/>
      <c r="BK90" s="40" t="n"/>
    </row>
    <row r="91" ht="45" customHeight="1">
      <c r="A91" s="59" t="inlineStr">
        <is>
          <t>UAT-WEB-085</t>
        </is>
      </c>
      <c r="B91" s="6" t="n"/>
      <c r="C91" s="60" t="inlineStr">
        <is>
          <t>岡田電機管理者</t>
        </is>
      </c>
      <c r="D91" s="5" t="n"/>
      <c r="E91" s="5" t="n"/>
      <c r="F91" s="6" t="n"/>
      <c r="G91" s="60" t="inlineStr">
        <is>
          <t>テナント_IPグループ名管理</t>
        </is>
      </c>
      <c r="H91" s="5" t="n"/>
      <c r="I91" s="6" t="n"/>
      <c r="J91" s="60" t="inlineStr">
        <is>
          <t>IPグループ名でテナントを検索</t>
        </is>
      </c>
      <c r="K91" s="5" t="n"/>
      <c r="L91" s="6" t="n"/>
      <c r="M91" s="60" t="inlineStr">
        <is>
          <t>IPグループ名が割り当て済みのテナントが存在する</t>
        </is>
      </c>
      <c r="N91" s="5" t="n"/>
      <c r="O91" s="5" t="n"/>
      <c r="P91" s="5" t="n"/>
      <c r="Q91" s="6" t="n"/>
      <c r="R91" s="60" t="inlineStr">
        <is>
          <t>① IPグループ名欄にIPグループ名の一部を入力する
② 「検索」をクリックする</t>
        </is>
      </c>
      <c r="S91" s="5" t="n"/>
      <c r="T91" s="5" t="n"/>
      <c r="U91" s="5" t="n"/>
      <c r="V91" s="5" t="n"/>
      <c r="W91" s="5" t="n"/>
      <c r="X91" s="6" t="n"/>
      <c r="Y91" s="60" t="inlineStr">
        <is>
          <t>一致するIPグループ名を持つテナントが正しく表示される。</t>
        </is>
      </c>
      <c r="Z91" s="5" t="n"/>
      <c r="AA91" s="5" t="n"/>
      <c r="AB91" s="5" t="n"/>
      <c r="AC91" s="5" t="n"/>
      <c r="AD91" s="6" t="n"/>
      <c r="AE91" s="61" t="inlineStr">
        <is>
          <t>N</t>
        </is>
      </c>
      <c r="AF91" s="6" t="n"/>
      <c r="AG91" s="61" t="n"/>
      <c r="AH91" s="6" t="n"/>
      <c r="AI91" s="61" t="n"/>
      <c r="AJ91" s="6" t="n"/>
      <c r="AK91" s="61" t="n"/>
      <c r="AL91" s="6" t="n"/>
      <c r="AM91" s="61" t="n"/>
      <c r="AN91" s="5" t="n"/>
      <c r="AO91" s="6" t="n"/>
      <c r="AP91" s="61" t="n"/>
      <c r="AQ91" s="6" t="n"/>
      <c r="AR91" s="60" t="n"/>
      <c r="AS91" s="5" t="n"/>
      <c r="AT91" s="6" t="n"/>
      <c r="AU91" s="61" t="n"/>
      <c r="AV91" s="6" t="n"/>
      <c r="AW91" s="61" t="n"/>
      <c r="AX91" s="6" t="n"/>
      <c r="AY91" s="61" t="n"/>
      <c r="AZ91" s="6" t="n"/>
      <c r="BA91" s="61" t="n"/>
      <c r="BB91" s="5" t="n"/>
      <c r="BC91" s="6" t="n"/>
      <c r="BD91" s="61" t="n"/>
      <c r="BE91" s="6" t="n"/>
      <c r="BF91" s="60" t="n"/>
      <c r="BG91" s="5" t="n"/>
      <c r="BH91" s="6" t="n"/>
      <c r="BI91" s="62" t="n"/>
      <c r="BJ91" s="5" t="n"/>
      <c r="BK91" s="40" t="n"/>
    </row>
    <row r="92" ht="30" customHeight="1">
      <c r="A92" s="63" t="inlineStr">
        <is>
          <t>UAT-WEB-086</t>
        </is>
      </c>
      <c r="B92" s="6" t="n"/>
      <c r="C92" s="64" t="inlineStr">
        <is>
          <t>岡田電機管理者</t>
        </is>
      </c>
      <c r="D92" s="5" t="n"/>
      <c r="E92" s="5" t="n"/>
      <c r="F92" s="6" t="n"/>
      <c r="G92" s="64" t="inlineStr">
        <is>
          <t>テナント_IPグループ名管理</t>
        </is>
      </c>
      <c r="H92" s="5" t="n"/>
      <c r="I92" s="6" t="n"/>
      <c r="J92" s="64" t="inlineStr">
        <is>
          <t>「登録待ち」テナントが一覧の先頭に優先表示されることを確認</t>
        </is>
      </c>
      <c r="K92" s="5" t="n"/>
      <c r="L92" s="6" t="n"/>
      <c r="M92" s="64" t="inlineStr">
        <is>
          <t>複数の状態（登録待ち、利用中）のテナントが存在する</t>
        </is>
      </c>
      <c r="N92" s="5" t="n"/>
      <c r="O92" s="5" t="n"/>
      <c r="P92" s="5" t="n"/>
      <c r="Q92" s="6" t="n"/>
      <c r="R92" s="64" t="inlineStr">
        <is>
          <t>① フィルターを適用せずにテナント一覧を確認する</t>
        </is>
      </c>
      <c r="S92" s="5" t="n"/>
      <c r="T92" s="5" t="n"/>
      <c r="U92" s="5" t="n"/>
      <c r="V92" s="5" t="n"/>
      <c r="W92" s="5" t="n"/>
      <c r="X92" s="6" t="n"/>
      <c r="Y92" s="64" t="inlineStr">
        <is>
          <t>「登録待ち」状態のテナントは常に一覧の先頭に表示される。</t>
        </is>
      </c>
      <c r="Z92" s="5" t="n"/>
      <c r="AA92" s="5" t="n"/>
      <c r="AB92" s="5" t="n"/>
      <c r="AC92" s="5" t="n"/>
      <c r="AD92" s="6" t="n"/>
      <c r="AE92" s="65" t="inlineStr">
        <is>
          <t>B</t>
        </is>
      </c>
      <c r="AF92" s="6" t="n"/>
      <c r="AG92" s="65" t="n"/>
      <c r="AH92" s="6" t="n"/>
      <c r="AI92" s="65" t="n"/>
      <c r="AJ92" s="6" t="n"/>
      <c r="AK92" s="65" t="n"/>
      <c r="AL92" s="6" t="n"/>
      <c r="AM92" s="65" t="n"/>
      <c r="AN92" s="5" t="n"/>
      <c r="AO92" s="6" t="n"/>
      <c r="AP92" s="65" t="n"/>
      <c r="AQ92" s="6" t="n"/>
      <c r="AR92" s="64" t="n"/>
      <c r="AS92" s="5" t="n"/>
      <c r="AT92" s="6" t="n"/>
      <c r="AU92" s="65" t="n"/>
      <c r="AV92" s="6" t="n"/>
      <c r="AW92" s="65" t="n"/>
      <c r="AX92" s="6" t="n"/>
      <c r="AY92" s="65" t="n"/>
      <c r="AZ92" s="6" t="n"/>
      <c r="BA92" s="65" t="n"/>
      <c r="BB92" s="5" t="n"/>
      <c r="BC92" s="6" t="n"/>
      <c r="BD92" s="65" t="n"/>
      <c r="BE92" s="6" t="n"/>
      <c r="BF92" s="64" t="n"/>
      <c r="BG92" s="5" t="n"/>
      <c r="BH92" s="6" t="n"/>
      <c r="BI92" s="66" t="n"/>
      <c r="BJ92" s="5" t="n"/>
      <c r="BK92" s="40" t="n"/>
    </row>
    <row r="93" ht="165" customHeight="1">
      <c r="A93" s="59" t="inlineStr">
        <is>
          <t>UAT-WEB-087</t>
        </is>
      </c>
      <c r="B93" s="6" t="n"/>
      <c r="C93" s="60" t="inlineStr">
        <is>
          <t>岡田電機管理者</t>
        </is>
      </c>
      <c r="D93" s="5" t="n"/>
      <c r="E93" s="5" t="n"/>
      <c r="F93" s="6" t="n"/>
      <c r="G93" s="60" t="inlineStr">
        <is>
          <t>テナント_IPグループ名管理</t>
        </is>
      </c>
      <c r="H93" s="5" t="n"/>
      <c r="I93" s="6" t="n"/>
      <c r="J93" s="60" t="inlineStr">
        <is>
          <t>「登録待ち」テナントのIPグループ名作成完了を確認</t>
        </is>
      </c>
      <c r="K93" s="5" t="n"/>
      <c r="L93" s="6" t="n"/>
      <c r="M93" s="60" t="inlineStr">
        <is>
          <t>テナント状態が「登録待ち」。IPグループ名はMVEサーバー上で設定済み（ウェブ管理画面外）。</t>
        </is>
      </c>
      <c r="N93" s="5" t="n"/>
      <c r="O93" s="5" t="n"/>
      <c r="P93" s="5" t="n"/>
      <c r="Q93" s="6" t="n"/>
      <c r="R93" s="60" t="inlineStr">
        <is>
          <t>① 「登録待ち」テナントのチェックボックスを選択する
② 「IPグループ名作成完了」をクリックする
③ ポップアップを確認する</t>
        </is>
      </c>
      <c r="S93" s="5" t="n"/>
      <c r="T93" s="5" t="n"/>
      <c r="U93" s="5" t="n"/>
      <c r="V93" s="5" t="n"/>
      <c r="W93" s="5" t="n"/>
      <c r="X93" s="6" t="n"/>
      <c r="Y93" s="60" t="inlineStr">
        <is>
          <t>- テナント状態 → 「利用中」
- システムがMVE APIを呼び出し、「登録待ち」状態のユーザーを登録する。
- MVE API成功時、ユーザー状態は「登録待ち」から「登録済み」に変更される。
- API失敗時、ユーザー状態は「登録待ち」のまま維持される。
- 結果通知メールがシステム管理者へ自動送信される。</t>
        </is>
      </c>
      <c r="Z93" s="5" t="n"/>
      <c r="AA93" s="5" t="n"/>
      <c r="AB93" s="5" t="n"/>
      <c r="AC93" s="5" t="n"/>
      <c r="AD93" s="6" t="n"/>
      <c r="AE93" s="61" t="inlineStr">
        <is>
          <t>N</t>
        </is>
      </c>
      <c r="AF93" s="6" t="n"/>
      <c r="AG93" s="61" t="n"/>
      <c r="AH93" s="6" t="n"/>
      <c r="AI93" s="61" t="n"/>
      <c r="AJ93" s="6" t="n"/>
      <c r="AK93" s="61" t="n"/>
      <c r="AL93" s="6" t="n"/>
      <c r="AM93" s="61" t="n"/>
      <c r="AN93" s="5" t="n"/>
      <c r="AO93" s="6" t="n"/>
      <c r="AP93" s="61" t="n"/>
      <c r="AQ93" s="6" t="n"/>
      <c r="AR93" s="60" t="n"/>
      <c r="AS93" s="5" t="n"/>
      <c r="AT93" s="6" t="n"/>
      <c r="AU93" s="61" t="n"/>
      <c r="AV93" s="6" t="n"/>
      <c r="AW93" s="61" t="n"/>
      <c r="AX93" s="6" t="n"/>
      <c r="AY93" s="61" t="n"/>
      <c r="AZ93" s="6" t="n"/>
      <c r="BA93" s="61" t="n"/>
      <c r="BB93" s="5" t="n"/>
      <c r="BC93" s="6" t="n"/>
      <c r="BD93" s="61" t="n"/>
      <c r="BE93" s="6" t="n"/>
      <c r="BF93" s="60" t="n"/>
      <c r="BG93" s="5" t="n"/>
      <c r="BH93" s="6" t="n"/>
      <c r="BI93" s="62" t="n"/>
      <c r="BJ93" s="5" t="n"/>
      <c r="BK93" s="40" t="n"/>
    </row>
    <row r="94" ht="60" customHeight="1">
      <c r="A94" s="63" t="inlineStr">
        <is>
          <t>UAT-WEB-088</t>
        </is>
      </c>
      <c r="B94" s="6" t="n"/>
      <c r="C94" s="64" t="inlineStr">
        <is>
          <t>岡田電機管理者</t>
        </is>
      </c>
      <c r="D94" s="5" t="n"/>
      <c r="E94" s="5" t="n"/>
      <c r="F94" s="6" t="n"/>
      <c r="G94" s="64" t="inlineStr">
        <is>
          <t>テナント_IPグループ名管理</t>
        </is>
      </c>
      <c r="H94" s="5" t="n"/>
      <c r="I94" s="6" t="n"/>
      <c r="J94" s="64" t="inlineStr">
        <is>
          <t>IPGroup確認 — 「利用中」テナントではボタンが使用不可</t>
        </is>
      </c>
      <c r="K94" s="5" t="n"/>
      <c r="L94" s="6" t="n"/>
      <c r="M94" s="64" t="inlineStr">
        <is>
          <t>テナントが「利用中」状態である</t>
        </is>
      </c>
      <c r="N94" s="5" t="n"/>
      <c r="O94" s="5" t="n"/>
      <c r="P94" s="5" t="n"/>
      <c r="Q94" s="6" t="n"/>
      <c r="R94" s="64" t="inlineStr">
        <is>
          <t>① 「利用中」テナントのチェックボックスを選択する
② 「IPグループ名作成完了」ボタンを確認する</t>
        </is>
      </c>
      <c r="S94" s="5" t="n"/>
      <c r="T94" s="5" t="n"/>
      <c r="U94" s="5" t="n"/>
      <c r="V94" s="5" t="n"/>
      <c r="W94" s="5" t="n"/>
      <c r="X94" s="6" t="n"/>
      <c r="Y94" s="64" t="inlineStr">
        <is>
          <t>このボタンは「利用中」テナントには適用されない。条件は「登録待ち」のみに適用される。</t>
        </is>
      </c>
      <c r="Z94" s="5" t="n"/>
      <c r="AA94" s="5" t="n"/>
      <c r="AB94" s="5" t="n"/>
      <c r="AC94" s="5" t="n"/>
      <c r="AD94" s="6" t="n"/>
      <c r="AE94" s="65" t="inlineStr">
        <is>
          <t>B</t>
        </is>
      </c>
      <c r="AF94" s="6" t="n"/>
      <c r="AG94" s="65" t="n"/>
      <c r="AH94" s="6" t="n"/>
      <c r="AI94" s="65" t="n"/>
      <c r="AJ94" s="6" t="n"/>
      <c r="AK94" s="65" t="n"/>
      <c r="AL94" s="6" t="n"/>
      <c r="AM94" s="65" t="n"/>
      <c r="AN94" s="5" t="n"/>
      <c r="AO94" s="6" t="n"/>
      <c r="AP94" s="65" t="n"/>
      <c r="AQ94" s="6" t="n"/>
      <c r="AR94" s="64" t="n"/>
      <c r="AS94" s="5" t="n"/>
      <c r="AT94" s="6" t="n"/>
      <c r="AU94" s="65" t="n"/>
      <c r="AV94" s="6" t="n"/>
      <c r="AW94" s="65" t="n"/>
      <c r="AX94" s="6" t="n"/>
      <c r="AY94" s="65" t="n"/>
      <c r="AZ94" s="6" t="n"/>
      <c r="BA94" s="65" t="n"/>
      <c r="BB94" s="5" t="n"/>
      <c r="BC94" s="6" t="n"/>
      <c r="BD94" s="65" t="n"/>
      <c r="BE94" s="6" t="n"/>
      <c r="BF94" s="64" t="n"/>
      <c r="BG94" s="5" t="n"/>
      <c r="BH94" s="6" t="n"/>
      <c r="BI94" s="66" t="n"/>
      <c r="BJ94" s="5" t="n"/>
      <c r="BK94" s="40" t="n"/>
    </row>
    <row r="95" ht="60" customHeight="1">
      <c r="A95" s="59" t="inlineStr">
        <is>
          <t>UAT-WEB-089</t>
        </is>
      </c>
      <c r="B95" s="6" t="n"/>
      <c r="C95" s="60" t="inlineStr">
        <is>
          <t>岡田電機管理者</t>
        </is>
      </c>
      <c r="D95" s="5" t="n"/>
      <c r="E95" s="5" t="n"/>
      <c r="F95" s="6" t="n"/>
      <c r="G95" s="60" t="inlineStr">
        <is>
          <t>テナント_IPグループ名管理</t>
        </is>
      </c>
      <c r="H95" s="5" t="n"/>
      <c r="I95" s="6" t="n"/>
      <c r="J95" s="60" t="inlineStr">
        <is>
          <t>複数テナントのIPGroupを一括確認</t>
        </is>
      </c>
      <c r="K95" s="5" t="n"/>
      <c r="L95" s="6" t="n"/>
      <c r="M95" s="60" t="inlineStr">
        <is>
          <t>「登録待ち」状態のテナントが少なくとも2件存在し、両方ともMVE上でIPGroupを設定済み。</t>
        </is>
      </c>
      <c r="N95" s="5" t="n"/>
      <c r="O95" s="5" t="n"/>
      <c r="P95" s="5" t="n"/>
      <c r="Q95" s="6" t="n"/>
      <c r="R95" s="60" t="inlineStr">
        <is>
          <t>① 2つのテナント両方のチェックボックスを選択する
② 「IPグループ名作成完了」をクリックする→ 確認</t>
        </is>
      </c>
      <c r="S95" s="5" t="n"/>
      <c r="T95" s="5" t="n"/>
      <c r="U95" s="5" t="n"/>
      <c r="V95" s="5" t="n"/>
      <c r="W95" s="5" t="n"/>
      <c r="X95" s="6" t="n"/>
      <c r="Y95" s="60" t="inlineStr">
        <is>
          <t>2つのテナントはいずれも「利用中」へ変更され、各テナントについてシステム管理者へ通知メールが送信される。</t>
        </is>
      </c>
      <c r="Z95" s="5" t="n"/>
      <c r="AA95" s="5" t="n"/>
      <c r="AB95" s="5" t="n"/>
      <c r="AC95" s="5" t="n"/>
      <c r="AD95" s="6" t="n"/>
      <c r="AE95" s="61" t="inlineStr">
        <is>
          <t>B</t>
        </is>
      </c>
      <c r="AF95" s="6" t="n"/>
      <c r="AG95" s="61" t="n"/>
      <c r="AH95" s="6" t="n"/>
      <c r="AI95" s="61" t="n"/>
      <c r="AJ95" s="6" t="n"/>
      <c r="AK95" s="61" t="n"/>
      <c r="AL95" s="6" t="n"/>
      <c r="AM95" s="61" t="n"/>
      <c r="AN95" s="5" t="n"/>
      <c r="AO95" s="6" t="n"/>
      <c r="AP95" s="61" t="n"/>
      <c r="AQ95" s="6" t="n"/>
      <c r="AR95" s="60" t="n"/>
      <c r="AS95" s="5" t="n"/>
      <c r="AT95" s="6" t="n"/>
      <c r="AU95" s="61" t="n"/>
      <c r="AV95" s="6" t="n"/>
      <c r="AW95" s="61" t="n"/>
      <c r="AX95" s="6" t="n"/>
      <c r="AY95" s="61" t="n"/>
      <c r="AZ95" s="6" t="n"/>
      <c r="BA95" s="61" t="n"/>
      <c r="BB95" s="5" t="n"/>
      <c r="BC95" s="6" t="n"/>
      <c r="BD95" s="61" t="n"/>
      <c r="BE95" s="6" t="n"/>
      <c r="BF95" s="60" t="n"/>
      <c r="BG95" s="5" t="n"/>
      <c r="BH95" s="6" t="n"/>
      <c r="BI95" s="62" t="n"/>
      <c r="BJ95" s="5" t="n"/>
      <c r="BK95" s="40" t="n"/>
    </row>
    <row r="96" ht="75" customHeight="1">
      <c r="A96" s="63" t="inlineStr">
        <is>
          <t>UAT-WEB-090</t>
        </is>
      </c>
      <c r="B96" s="6" t="n"/>
      <c r="C96" s="64" t="inlineStr">
        <is>
          <t>岡田電機管理者</t>
        </is>
      </c>
      <c r="D96" s="5" t="n"/>
      <c r="E96" s="5" t="n"/>
      <c r="F96" s="6" t="n"/>
      <c r="G96" s="64" t="inlineStr">
        <is>
          <t>メンテナンス</t>
        </is>
      </c>
      <c r="H96" s="5" t="n"/>
      <c r="I96" s="6" t="n"/>
      <c r="J96" s="64" t="inlineStr">
        <is>
          <t>ポップアップで「キャンセル」をクリックした場合にメンテナンスをキャンセル</t>
        </is>
      </c>
      <c r="K96" s="5" t="n"/>
      <c r="L96" s="6" t="n"/>
      <c r="M96" s="64" t="inlineStr">
        <is>
          <t>「メンテナンス開始」をクリックし、ポップアップが表示されている</t>
        </is>
      </c>
      <c r="N96" s="5" t="n"/>
      <c r="O96" s="5" t="n"/>
      <c r="P96" s="5" t="n"/>
      <c r="Q96" s="6" t="n"/>
      <c r="R96" s="64" t="inlineStr">
        <is>
          <t>① 「メンテナンス開始」ボタンをクリックする
② 「メンテナンスを開始します。よろしいですか？」ポップアップを確認する
③ 「キャンセル」をクリックする</t>
        </is>
      </c>
      <c r="S96" s="5" t="n"/>
      <c r="T96" s="5" t="n"/>
      <c r="U96" s="5" t="n"/>
      <c r="V96" s="5" t="n"/>
      <c r="W96" s="5" t="n"/>
      <c r="X96" s="6" t="n"/>
      <c r="Y96" s="64" t="inlineStr">
        <is>
          <t>ポップアップが閉じ、メンテナンスは開始されず、システム状態は変更されない。</t>
        </is>
      </c>
      <c r="Z96" s="5" t="n"/>
      <c r="AA96" s="5" t="n"/>
      <c r="AB96" s="5" t="n"/>
      <c r="AC96" s="5" t="n"/>
      <c r="AD96" s="6" t="n"/>
      <c r="AE96" s="65" t="inlineStr">
        <is>
          <t>B</t>
        </is>
      </c>
      <c r="AF96" s="6" t="n"/>
      <c r="AG96" s="65" t="n"/>
      <c r="AH96" s="6" t="n"/>
      <c r="AI96" s="65" t="n"/>
      <c r="AJ96" s="6" t="n"/>
      <c r="AK96" s="65" t="n"/>
      <c r="AL96" s="6" t="n"/>
      <c r="AM96" s="65" t="n"/>
      <c r="AN96" s="5" t="n"/>
      <c r="AO96" s="6" t="n"/>
      <c r="AP96" s="65" t="n"/>
      <c r="AQ96" s="6" t="n"/>
      <c r="AR96" s="64" t="n"/>
      <c r="AS96" s="5" t="n"/>
      <c r="AT96" s="6" t="n"/>
      <c r="AU96" s="65" t="n"/>
      <c r="AV96" s="6" t="n"/>
      <c r="AW96" s="65" t="n"/>
      <c r="AX96" s="6" t="n"/>
      <c r="AY96" s="65" t="n"/>
      <c r="AZ96" s="6" t="n"/>
      <c r="BA96" s="65" t="n"/>
      <c r="BB96" s="5" t="n"/>
      <c r="BC96" s="6" t="n"/>
      <c r="BD96" s="65" t="n"/>
      <c r="BE96" s="6" t="n"/>
      <c r="BF96" s="64" t="n"/>
      <c r="BG96" s="5" t="n"/>
      <c r="BH96" s="6" t="n"/>
      <c r="BI96" s="66" t="n"/>
      <c r="BJ96" s="5" t="n"/>
      <c r="BK96" s="40" t="n"/>
    </row>
    <row r="97" ht="75" customHeight="1">
      <c r="A97" s="59" t="inlineStr">
        <is>
          <t>UAT-WEB-091</t>
        </is>
      </c>
      <c r="B97" s="6" t="n"/>
      <c r="C97" s="60" t="inlineStr">
        <is>
          <t>岡田電機管理者</t>
        </is>
      </c>
      <c r="D97" s="5" t="n"/>
      <c r="E97" s="5" t="n"/>
      <c r="F97" s="6" t="n"/>
      <c r="G97" s="60" t="inlineStr">
        <is>
          <t>メンテナンス</t>
        </is>
      </c>
      <c r="H97" s="5" t="n"/>
      <c r="I97" s="6" t="n"/>
      <c r="J97" s="60" t="inlineStr">
        <is>
          <t>メンテナンス開始 成功</t>
        </is>
      </c>
      <c r="K97" s="5" t="n"/>
      <c r="L97" s="6" t="n"/>
      <c r="M97" s="60" t="inlineStr">
        <is>
          <t>岡田電機管理者でログイン済み。サービスは正常稼働中。</t>
        </is>
      </c>
      <c r="N97" s="5" t="n"/>
      <c r="O97" s="5" t="n"/>
      <c r="P97" s="5" t="n"/>
      <c r="Q97" s="6" t="n"/>
      <c r="R97" s="60" t="inlineStr">
        <is>
          <t>① 「メンテナンス開始」ボタンをクリックする
② 「メンテナンスを開始します。よろしいですか？」ポップアップを確認する
③ 「OK」をクリックする</t>
        </is>
      </c>
      <c r="S97" s="5" t="n"/>
      <c r="T97" s="5" t="n"/>
      <c r="U97" s="5" t="n"/>
      <c r="V97" s="5" t="n"/>
      <c r="W97" s="5" t="n"/>
      <c r="X97" s="6" t="n"/>
      <c r="Y97" s="60" t="inlineStr">
        <is>
          <t>「メンテナンス開始」ボタンは非表示になり、「メンテナンス終了」ボタンが表示される。</t>
        </is>
      </c>
      <c r="Z97" s="5" t="n"/>
      <c r="AA97" s="5" t="n"/>
      <c r="AB97" s="5" t="n"/>
      <c r="AC97" s="5" t="n"/>
      <c r="AD97" s="6" t="n"/>
      <c r="AE97" s="61" t="inlineStr">
        <is>
          <t>N</t>
        </is>
      </c>
      <c r="AF97" s="6" t="n"/>
      <c r="AG97" s="61" t="n"/>
      <c r="AH97" s="6" t="n"/>
      <c r="AI97" s="61" t="n"/>
      <c r="AJ97" s="6" t="n"/>
      <c r="AK97" s="61" t="n"/>
      <c r="AL97" s="6" t="n"/>
      <c r="AM97" s="61" t="n"/>
      <c r="AN97" s="5" t="n"/>
      <c r="AO97" s="6" t="n"/>
      <c r="AP97" s="61" t="n"/>
      <c r="AQ97" s="6" t="n"/>
      <c r="AR97" s="60" t="n"/>
      <c r="AS97" s="5" t="n"/>
      <c r="AT97" s="6" t="n"/>
      <c r="AU97" s="61" t="n"/>
      <c r="AV97" s="6" t="n"/>
      <c r="AW97" s="61" t="n"/>
      <c r="AX97" s="6" t="n"/>
      <c r="AY97" s="61" t="n"/>
      <c r="AZ97" s="6" t="n"/>
      <c r="BA97" s="61" t="n"/>
      <c r="BB97" s="5" t="n"/>
      <c r="BC97" s="6" t="n"/>
      <c r="BD97" s="61" t="n"/>
      <c r="BE97" s="6" t="n"/>
      <c r="BF97" s="60" t="n"/>
      <c r="BG97" s="5" t="n"/>
      <c r="BH97" s="6" t="n"/>
      <c r="BI97" s="62" t="n"/>
      <c r="BJ97" s="5" t="n"/>
      <c r="BK97" s="40" t="n"/>
    </row>
    <row r="98" ht="45" customHeight="1">
      <c r="A98" s="63" t="inlineStr">
        <is>
          <t>UAT-WEB-092</t>
        </is>
      </c>
      <c r="B98" s="6" t="n"/>
      <c r="C98" s="64" t="inlineStr">
        <is>
          <t>岡田電機管理者</t>
        </is>
      </c>
      <c r="D98" s="5" t="n"/>
      <c r="E98" s="5" t="n"/>
      <c r="F98" s="6" t="n"/>
      <c r="G98" s="64" t="inlineStr">
        <is>
          <t>メンテナンス</t>
        </is>
      </c>
      <c r="H98" s="5" t="n"/>
      <c r="I98" s="6" t="n"/>
      <c r="J98" s="64" t="inlineStr">
        <is>
          <t>メンテナンス中にアプリの通話/メッセージが無効化される</t>
        </is>
      </c>
      <c r="K98" s="5" t="n"/>
      <c r="L98" s="6" t="n"/>
      <c r="M98" s="64" t="inlineStr">
        <is>
          <t>メンテナンス開始済み（OD-M02）</t>
        </is>
      </c>
      <c r="N98" s="5" t="n"/>
      <c r="O98" s="5" t="n"/>
      <c r="P98" s="5" t="n"/>
      <c r="Q98" s="6" t="n"/>
      <c r="R98" s="64" t="inlineStr">
        <is>
          <t>① ユーザーがモバイルアプリで通話を試行する
② ユーザーがメッセージ送信を試行する</t>
        </is>
      </c>
      <c r="S98" s="5" t="n"/>
      <c r="T98" s="5" t="n"/>
      <c r="U98" s="5" t="n"/>
      <c r="V98" s="5" t="n"/>
      <c r="W98" s="5" t="n"/>
      <c r="X98" s="6" t="n"/>
      <c r="Y98" s="64" t="inlineStr">
        <is>
          <t>音声/ビデオ通話およびメッセージが無効化され、アプリ上にメンテナンス通知が表示される。</t>
        </is>
      </c>
      <c r="Z98" s="5" t="n"/>
      <c r="AA98" s="5" t="n"/>
      <c r="AB98" s="5" t="n"/>
      <c r="AC98" s="5" t="n"/>
      <c r="AD98" s="6" t="n"/>
      <c r="AE98" s="65" t="inlineStr">
        <is>
          <t>B</t>
        </is>
      </c>
      <c r="AF98" s="6" t="n"/>
      <c r="AG98" s="65" t="n"/>
      <c r="AH98" s="6" t="n"/>
      <c r="AI98" s="65" t="n"/>
      <c r="AJ98" s="6" t="n"/>
      <c r="AK98" s="65" t="n"/>
      <c r="AL98" s="6" t="n"/>
      <c r="AM98" s="65" t="n"/>
      <c r="AN98" s="5" t="n"/>
      <c r="AO98" s="6" t="n"/>
      <c r="AP98" s="65" t="n"/>
      <c r="AQ98" s="6" t="n"/>
      <c r="AR98" s="64" t="n"/>
      <c r="AS98" s="5" t="n"/>
      <c r="AT98" s="6" t="n"/>
      <c r="AU98" s="65" t="n"/>
      <c r="AV98" s="6" t="n"/>
      <c r="AW98" s="65" t="n"/>
      <c r="AX98" s="6" t="n"/>
      <c r="AY98" s="65" t="n"/>
      <c r="AZ98" s="6" t="n"/>
      <c r="BA98" s="65" t="n"/>
      <c r="BB98" s="5" t="n"/>
      <c r="BC98" s="6" t="n"/>
      <c r="BD98" s="65" t="n"/>
      <c r="BE98" s="6" t="n"/>
      <c r="BF98" s="64" t="n"/>
      <c r="BG98" s="5" t="n"/>
      <c r="BH98" s="6" t="n"/>
      <c r="BI98" s="66" t="n"/>
      <c r="BJ98" s="5" t="n"/>
      <c r="BK98" s="40" t="n"/>
    </row>
    <row r="99" ht="75" customHeight="1">
      <c r="A99" s="59" t="inlineStr">
        <is>
          <t>UAT-WEB-093</t>
        </is>
      </c>
      <c r="B99" s="6" t="n"/>
      <c r="C99" s="60" t="inlineStr">
        <is>
          <t>岡田電機管理者</t>
        </is>
      </c>
      <c r="D99" s="5" t="n"/>
      <c r="E99" s="5" t="n"/>
      <c r="F99" s="6" t="n"/>
      <c r="G99" s="60" t="inlineStr">
        <is>
          <t>メンテナンス</t>
        </is>
      </c>
      <c r="H99" s="5" t="n"/>
      <c r="I99" s="6" t="n"/>
      <c r="J99" s="60" t="inlineStr">
        <is>
          <t>メンテナンス終了 成功</t>
        </is>
      </c>
      <c r="K99" s="5" t="n"/>
      <c r="L99" s="6" t="n"/>
      <c r="M99" s="60" t="inlineStr">
        <is>
          <t>メンテナンス実行中（OD-M02）。MVEサーバー上の作業は完了済み。</t>
        </is>
      </c>
      <c r="N99" s="5" t="n"/>
      <c r="O99" s="5" t="n"/>
      <c r="P99" s="5" t="n"/>
      <c r="Q99" s="6" t="n"/>
      <c r="R99" s="60" t="inlineStr">
        <is>
          <t>① 「メンテナンス終了」ボタンをクリックする
② 「メンテナンスを終了します。よろしいですか？」ポップアップを確認する
③ 「OK」をクリックする</t>
        </is>
      </c>
      <c r="S99" s="5" t="n"/>
      <c r="T99" s="5" t="n"/>
      <c r="U99" s="5" t="n"/>
      <c r="V99" s="5" t="n"/>
      <c r="W99" s="5" t="n"/>
      <c r="X99" s="6" t="n"/>
      <c r="Y99" s="60" t="inlineStr">
        <is>
          <t>「メンテナンス終了」ボタンは非表示になり、「メンテナンス開始」ボタンが再表示され、アプリの通話/メッセージが復旧する。</t>
        </is>
      </c>
      <c r="Z99" s="5" t="n"/>
      <c r="AA99" s="5" t="n"/>
      <c r="AB99" s="5" t="n"/>
      <c r="AC99" s="5" t="n"/>
      <c r="AD99" s="6" t="n"/>
      <c r="AE99" s="61" t="inlineStr">
        <is>
          <t>N</t>
        </is>
      </c>
      <c r="AF99" s="6" t="n"/>
      <c r="AG99" s="61" t="n"/>
      <c r="AH99" s="6" t="n"/>
      <c r="AI99" s="61" t="n"/>
      <c r="AJ99" s="6" t="n"/>
      <c r="AK99" s="61" t="n"/>
      <c r="AL99" s="6" t="n"/>
      <c r="AM99" s="61" t="n"/>
      <c r="AN99" s="5" t="n"/>
      <c r="AO99" s="6" t="n"/>
      <c r="AP99" s="61" t="n"/>
      <c r="AQ99" s="6" t="n"/>
      <c r="AR99" s="60" t="n"/>
      <c r="AS99" s="5" t="n"/>
      <c r="AT99" s="6" t="n"/>
      <c r="AU99" s="61" t="n"/>
      <c r="AV99" s="6" t="n"/>
      <c r="AW99" s="61" t="n"/>
      <c r="AX99" s="6" t="n"/>
      <c r="AY99" s="61" t="n"/>
      <c r="AZ99" s="6" t="n"/>
      <c r="BA99" s="61" t="n"/>
      <c r="BB99" s="5" t="n"/>
      <c r="BC99" s="6" t="n"/>
      <c r="BD99" s="61" t="n"/>
      <c r="BE99" s="6" t="n"/>
      <c r="BF99" s="60" t="n"/>
      <c r="BG99" s="5" t="n"/>
      <c r="BH99" s="6" t="n"/>
      <c r="BI99" s="62" t="n"/>
      <c r="BJ99" s="5" t="n"/>
      <c r="BK99" s="40" t="n"/>
    </row>
    <row r="100" ht="45" customHeight="1">
      <c r="A100" s="63" t="inlineStr">
        <is>
          <t>UAT-WEB-094</t>
        </is>
      </c>
      <c r="B100" s="6" t="n"/>
      <c r="C100" s="64" t="inlineStr">
        <is>
          <t>岡田電機管理者</t>
        </is>
      </c>
      <c r="D100" s="5" t="n"/>
      <c r="E100" s="5" t="n"/>
      <c r="F100" s="6" t="n"/>
      <c r="G100" s="64" t="inlineStr">
        <is>
          <t>メンテナンス</t>
        </is>
      </c>
      <c r="H100" s="5" t="n"/>
      <c r="I100" s="6" t="n"/>
      <c r="J100" s="64" t="inlineStr">
        <is>
          <t>メンテナンス中にログアウト・再ログインしても状態は解除されない</t>
        </is>
      </c>
      <c r="K100" s="5" t="n"/>
      <c r="L100" s="6" t="n"/>
      <c r="M100" s="64" t="inlineStr">
        <is>
          <t>メンテナンス実行中</t>
        </is>
      </c>
      <c r="N100" s="5" t="n"/>
      <c r="O100" s="5" t="n"/>
      <c r="P100" s="5" t="n"/>
      <c r="Q100" s="6" t="n"/>
      <c r="R100" s="64" t="inlineStr">
        <is>
          <t>① ウェブ管理画面からログアウトする
② 再ログインする
③ 画面を開く 岡田電機管理</t>
        </is>
      </c>
      <c r="S100" s="5" t="n"/>
      <c r="T100" s="5" t="n"/>
      <c r="U100" s="5" t="n"/>
      <c r="V100" s="5" t="n"/>
      <c r="W100" s="5" t="n"/>
      <c r="X100" s="6" t="n"/>
      <c r="Y100" s="64" t="inlineStr">
        <is>
          <t>メンテナンス状態は維持され、「メンテナンス終了」ボタンは引き続き表示される。</t>
        </is>
      </c>
      <c r="Z100" s="5" t="n"/>
      <c r="AA100" s="5" t="n"/>
      <c r="AB100" s="5" t="n"/>
      <c r="AC100" s="5" t="n"/>
      <c r="AD100" s="6" t="n"/>
      <c r="AE100" s="65" t="inlineStr">
        <is>
          <t>N</t>
        </is>
      </c>
      <c r="AF100" s="6" t="n"/>
      <c r="AG100" s="65" t="n"/>
      <c r="AH100" s="6" t="n"/>
      <c r="AI100" s="65" t="n"/>
      <c r="AJ100" s="6" t="n"/>
      <c r="AK100" s="65" t="n"/>
      <c r="AL100" s="6" t="n"/>
      <c r="AM100" s="65" t="n"/>
      <c r="AN100" s="5" t="n"/>
      <c r="AO100" s="6" t="n"/>
      <c r="AP100" s="65" t="n"/>
      <c r="AQ100" s="6" t="n"/>
      <c r="AR100" s="64" t="n"/>
      <c r="AS100" s="5" t="n"/>
      <c r="AT100" s="6" t="n"/>
      <c r="AU100" s="65" t="n"/>
      <c r="AV100" s="6" t="n"/>
      <c r="AW100" s="65" t="n"/>
      <c r="AX100" s="6" t="n"/>
      <c r="AY100" s="65" t="n"/>
      <c r="AZ100" s="6" t="n"/>
      <c r="BA100" s="65" t="n"/>
      <c r="BB100" s="5" t="n"/>
      <c r="BC100" s="6" t="n"/>
      <c r="BD100" s="65" t="n"/>
      <c r="BE100" s="6" t="n"/>
      <c r="BF100" s="64" t="n"/>
      <c r="BG100" s="5" t="n"/>
      <c r="BH100" s="6" t="n"/>
      <c r="BI100" s="66" t="n"/>
      <c r="BJ100" s="5" t="n"/>
      <c r="BK100" s="40" t="n"/>
    </row>
    <row r="101" ht="60" customHeight="1">
      <c r="A101" s="59" t="inlineStr">
        <is>
          <t>UAT-WEB-095</t>
        </is>
      </c>
      <c r="B101" s="6" t="n"/>
      <c r="C101" s="60" t="inlineStr">
        <is>
          <t>岡田電機管理者</t>
        </is>
      </c>
      <c r="D101" s="5" t="n"/>
      <c r="E101" s="5" t="n"/>
      <c r="F101" s="6" t="n"/>
      <c r="G101" s="60" t="inlineStr">
        <is>
          <t>アカウント出力・MVE同期</t>
        </is>
      </c>
      <c r="H101" s="5" t="n"/>
      <c r="I101" s="6" t="n"/>
      <c r="J101" s="60" t="inlineStr">
        <is>
          <t>SIPアカウント一覧CSVを出力</t>
        </is>
      </c>
      <c r="K101" s="5" t="n"/>
      <c r="L101" s="6" t="n"/>
      <c r="M101" s="60" t="inlineStr">
        <is>
          <t>岡田電機管理者でログイン済みであり、 有効なユーザーを持つテナントが存在する。</t>
        </is>
      </c>
      <c r="N101" s="5" t="n"/>
      <c r="O101" s="5" t="n"/>
      <c r="P101" s="5" t="n"/>
      <c r="Q101" s="6" t="n"/>
      <c r="R101" s="60" t="inlineStr">
        <is>
          <t>① 「アカウント出力」をクリックする</t>
        </is>
      </c>
      <c r="S101" s="5" t="n"/>
      <c r="T101" s="5" t="n"/>
      <c r="U101" s="5" t="n"/>
      <c r="V101" s="5" t="n"/>
      <c r="W101" s="5" t="n"/>
      <c r="X101" s="6" t="n"/>
      <c r="Y101" s="60" t="inlineStr">
        <is>
          <t>CSVファイルが自動的にダウンロードされる。ローカルユーザー、ユーザー名、パスワード、IPグループ名の4列を含む。</t>
        </is>
      </c>
      <c r="Z101" s="5" t="n"/>
      <c r="AA101" s="5" t="n"/>
      <c r="AB101" s="5" t="n"/>
      <c r="AC101" s="5" t="n"/>
      <c r="AD101" s="6" t="n"/>
      <c r="AE101" s="61" t="inlineStr">
        <is>
          <t>N</t>
        </is>
      </c>
      <c r="AF101" s="6" t="n"/>
      <c r="AG101" s="61" t="n"/>
      <c r="AH101" s="6" t="n"/>
      <c r="AI101" s="61" t="n"/>
      <c r="AJ101" s="6" t="n"/>
      <c r="AK101" s="61" t="n"/>
      <c r="AL101" s="6" t="n"/>
      <c r="AM101" s="61" t="n"/>
      <c r="AN101" s="5" t="n"/>
      <c r="AO101" s="6" t="n"/>
      <c r="AP101" s="61" t="n"/>
      <c r="AQ101" s="6" t="n"/>
      <c r="AR101" s="60" t="n"/>
      <c r="AS101" s="5" t="n"/>
      <c r="AT101" s="6" t="n"/>
      <c r="AU101" s="61" t="n"/>
      <c r="AV101" s="6" t="n"/>
      <c r="AW101" s="61" t="n"/>
      <c r="AX101" s="6" t="n"/>
      <c r="AY101" s="61" t="n"/>
      <c r="AZ101" s="6" t="n"/>
      <c r="BA101" s="61" t="n"/>
      <c r="BB101" s="5" t="n"/>
      <c r="BC101" s="6" t="n"/>
      <c r="BD101" s="61" t="n"/>
      <c r="BE101" s="6" t="n"/>
      <c r="BF101" s="60" t="n"/>
      <c r="BG101" s="5" t="n"/>
      <c r="BH101" s="6" t="n"/>
      <c r="BI101" s="62" t="n"/>
      <c r="BJ101" s="5" t="n"/>
      <c r="BK101" s="40" t="n"/>
    </row>
    <row r="102" ht="60" customHeight="1">
      <c r="A102" s="63" t="inlineStr">
        <is>
          <t>UAT-WEB-096</t>
        </is>
      </c>
      <c r="B102" s="6" t="n"/>
      <c r="C102" s="64" t="inlineStr">
        <is>
          <t>岡田電機管理者</t>
        </is>
      </c>
      <c r="D102" s="5" t="n"/>
      <c r="E102" s="5" t="n"/>
      <c r="F102" s="6" t="n"/>
      <c r="G102" s="64" t="inlineStr">
        <is>
          <t>アカウント出力・MVE同期</t>
        </is>
      </c>
      <c r="H102" s="5" t="n"/>
      <c r="I102" s="6" t="n"/>
      <c r="J102" s="64" t="inlineStr">
        <is>
          <t>CSVファイルに有効状態のユーザーのみ含まれることを確認</t>
        </is>
      </c>
      <c r="K102" s="5" t="n"/>
      <c r="L102" s="6" t="n"/>
      <c r="M102" s="64" t="inlineStr">
        <is>
          <t>テナントに複数の状態のユーザーが存在する: 登録待ち、登録済み、アクティブ待ち、利用中、削除済み</t>
        </is>
      </c>
      <c r="N102" s="5" t="n"/>
      <c r="O102" s="5" t="n"/>
      <c r="P102" s="5" t="n"/>
      <c r="Q102" s="6" t="n"/>
      <c r="R102" s="64" t="inlineStr">
        <is>
          <t>① テナントのCSVを出力する
② CSVファイルを開いて確認する</t>
        </is>
      </c>
      <c r="S102" s="5" t="n"/>
      <c r="T102" s="5" t="n"/>
      <c r="U102" s="5" t="n"/>
      <c r="V102" s="5" t="n"/>
      <c r="W102" s="5" t="n"/>
      <c r="X102" s="6" t="n"/>
      <c r="Y102" s="64" t="inlineStr">
        <is>
          <t>CSVファイルには状態が登録待ち、登録済み、アクティブ待ち、利用中のユーザーが含まれ、「削除済み」ユーザーは出力ファイルに含まれない。</t>
        </is>
      </c>
      <c r="Z102" s="5" t="n"/>
      <c r="AA102" s="5" t="n"/>
      <c r="AB102" s="5" t="n"/>
      <c r="AC102" s="5" t="n"/>
      <c r="AD102" s="6" t="n"/>
      <c r="AE102" s="65" t="inlineStr">
        <is>
          <t>N</t>
        </is>
      </c>
      <c r="AF102" s="6" t="n"/>
      <c r="AG102" s="65" t="n"/>
      <c r="AH102" s="6" t="n"/>
      <c r="AI102" s="65" t="n"/>
      <c r="AJ102" s="6" t="n"/>
      <c r="AK102" s="65" t="n"/>
      <c r="AL102" s="6" t="n"/>
      <c r="AM102" s="65" t="n"/>
      <c r="AN102" s="5" t="n"/>
      <c r="AO102" s="6" t="n"/>
      <c r="AP102" s="65" t="n"/>
      <c r="AQ102" s="6" t="n"/>
      <c r="AR102" s="64" t="n"/>
      <c r="AS102" s="5" t="n"/>
      <c r="AT102" s="6" t="n"/>
      <c r="AU102" s="65" t="n"/>
      <c r="AV102" s="6" t="n"/>
      <c r="AW102" s="65" t="n"/>
      <c r="AX102" s="6" t="n"/>
      <c r="AY102" s="65" t="n"/>
      <c r="AZ102" s="6" t="n"/>
      <c r="BA102" s="65" t="n"/>
      <c r="BB102" s="5" t="n"/>
      <c r="BC102" s="6" t="n"/>
      <c r="BD102" s="65" t="n"/>
      <c r="BE102" s="6" t="n"/>
      <c r="BF102" s="64" t="n"/>
      <c r="BG102" s="5" t="n"/>
      <c r="BH102" s="6" t="n"/>
      <c r="BI102" s="66" t="n"/>
      <c r="BJ102" s="5" t="n"/>
      <c r="BK102" s="40" t="n"/>
    </row>
    <row r="103" ht="60" customHeight="1">
      <c r="A103" s="59" t="inlineStr">
        <is>
          <t>UAT-WEB-097</t>
        </is>
      </c>
      <c r="B103" s="6" t="n"/>
      <c r="C103" s="60" t="inlineStr">
        <is>
          <t>岡田電機管理者</t>
        </is>
      </c>
      <c r="D103" s="5" t="n"/>
      <c r="E103" s="5" t="n"/>
      <c r="F103" s="6" t="n"/>
      <c r="G103" s="60" t="inlineStr">
        <is>
          <t>アカウント出力・MVE同期</t>
        </is>
      </c>
      <c r="H103" s="5" t="n"/>
      <c r="I103" s="6" t="n"/>
      <c r="J103" s="60" t="inlineStr">
        <is>
          <t>CSVファイル内のデータ形式を確認</t>
        </is>
      </c>
      <c r="K103" s="5" t="n"/>
      <c r="L103" s="6" t="n"/>
      <c r="M103" s="60" t="inlineStr">
        <is>
          <t>CSV出力済み（OD-E01）</t>
        </is>
      </c>
      <c r="N103" s="5" t="n"/>
      <c r="O103" s="5" t="n"/>
      <c r="P103" s="5" t="n"/>
      <c r="Q103" s="6" t="n"/>
      <c r="R103" s="60" t="inlineStr">
        <is>
          <t>① CSVファイルを開く
② ローカルユーザー列とIPグループ名列を確認する</t>
        </is>
      </c>
      <c r="S103" s="5" t="n"/>
      <c r="T103" s="5" t="n"/>
      <c r="U103" s="5" t="n"/>
      <c r="V103" s="5" t="n"/>
      <c r="W103" s="5" t="n"/>
      <c r="X103" s="6" t="n"/>
      <c r="Y103" s="60" t="inlineStr">
        <is>
          <t>ローカルユーザー = テナントID + 内線SIP番号（連結、例: 50010001）。IPグループ名 = 「IPG_」 + テナント名。</t>
        </is>
      </c>
      <c r="Z103" s="5" t="n"/>
      <c r="AA103" s="5" t="n"/>
      <c r="AB103" s="5" t="n"/>
      <c r="AC103" s="5" t="n"/>
      <c r="AD103" s="6" t="n"/>
      <c r="AE103" s="61" t="inlineStr">
        <is>
          <t>N</t>
        </is>
      </c>
      <c r="AF103" s="6" t="n"/>
      <c r="AG103" s="61" t="n"/>
      <c r="AH103" s="6" t="n"/>
      <c r="AI103" s="61" t="n"/>
      <c r="AJ103" s="6" t="n"/>
      <c r="AK103" s="61" t="n"/>
      <c r="AL103" s="6" t="n"/>
      <c r="AM103" s="61" t="n"/>
      <c r="AN103" s="5" t="n"/>
      <c r="AO103" s="6" t="n"/>
      <c r="AP103" s="61" t="n"/>
      <c r="AQ103" s="6" t="n"/>
      <c r="AR103" s="60" t="n"/>
      <c r="AS103" s="5" t="n"/>
      <c r="AT103" s="6" t="n"/>
      <c r="AU103" s="61" t="n"/>
      <c r="AV103" s="6" t="n"/>
      <c r="AW103" s="61" t="n"/>
      <c r="AX103" s="6" t="n"/>
      <c r="AY103" s="61" t="n"/>
      <c r="AZ103" s="6" t="n"/>
      <c r="BA103" s="61" t="n"/>
      <c r="BB103" s="5" t="n"/>
      <c r="BC103" s="6" t="n"/>
      <c r="BD103" s="61" t="n"/>
      <c r="BE103" s="6" t="n"/>
      <c r="BF103" s="60" t="n"/>
      <c r="BG103" s="5" t="n"/>
      <c r="BH103" s="6" t="n"/>
      <c r="BI103" s="62" t="n"/>
      <c r="BJ103" s="5" t="n"/>
      <c r="BK103" s="40" t="n"/>
    </row>
    <row r="104" ht="60" customHeight="1">
      <c r="A104" s="63" t="inlineStr">
        <is>
          <t>UAT-WEB-098</t>
        </is>
      </c>
      <c r="B104" s="6" t="n"/>
      <c r="C104" s="64" t="inlineStr">
        <is>
          <t>岡田電機管理者</t>
        </is>
      </c>
      <c r="D104" s="5" t="n"/>
      <c r="E104" s="5" t="n"/>
      <c r="F104" s="6" t="n"/>
      <c r="G104" s="64" t="inlineStr">
        <is>
          <t>アカウント出力・MVE同期</t>
        </is>
      </c>
      <c r="H104" s="5" t="n"/>
      <c r="I104" s="6" t="n"/>
      <c r="J104" s="64" t="inlineStr">
        <is>
          <t>CSVファイルをMVEへインポート — 「削除済み」ユーザーがMVEから削除される</t>
        </is>
      </c>
      <c r="K104" s="5" t="n"/>
      <c r="L104" s="6" t="n"/>
      <c r="M104" s="64" t="inlineStr">
        <is>
          <t>ユーザー削除後にCSV出力済み。メンテナンス中。</t>
        </is>
      </c>
      <c r="N104" s="5" t="n"/>
      <c r="O104" s="5" t="n"/>
      <c r="P104" s="5" t="n"/>
      <c r="Q104" s="6" t="n"/>
      <c r="R104" s="64" t="inlineStr">
        <is>
          <t>① MVEシステムにログインする
② ウェブ管理画面から出力したCSVファイルをインポートする
③ インポート成功を確認する</t>
        </is>
      </c>
      <c r="S104" s="5" t="n"/>
      <c r="T104" s="5" t="n"/>
      <c r="U104" s="5" t="n"/>
      <c r="V104" s="5" t="n"/>
      <c r="W104" s="5" t="n"/>
      <c r="X104" s="6" t="n"/>
      <c r="Y104" s="64" t="inlineStr">
        <is>
          <t>「削除済み」ユーザーはCSVに含まれないためMVEから削除され、残りのユーザーはMVE上に残る。</t>
        </is>
      </c>
      <c r="Z104" s="5" t="n"/>
      <c r="AA104" s="5" t="n"/>
      <c r="AB104" s="5" t="n"/>
      <c r="AC104" s="5" t="n"/>
      <c r="AD104" s="6" t="n"/>
      <c r="AE104" s="65" t="inlineStr">
        <is>
          <t>B</t>
        </is>
      </c>
      <c r="AF104" s="6" t="n"/>
      <c r="AG104" s="65" t="n"/>
      <c r="AH104" s="6" t="n"/>
      <c r="AI104" s="65" t="n"/>
      <c r="AJ104" s="6" t="n"/>
      <c r="AK104" s="65" t="n"/>
      <c r="AL104" s="6" t="n"/>
      <c r="AM104" s="65" t="n"/>
      <c r="AN104" s="5" t="n"/>
      <c r="AO104" s="6" t="n"/>
      <c r="AP104" s="65" t="n"/>
      <c r="AQ104" s="6" t="n"/>
      <c r="AR104" s="64" t="n"/>
      <c r="AS104" s="5" t="n"/>
      <c r="AT104" s="6" t="n"/>
      <c r="AU104" s="65" t="n"/>
      <c r="AV104" s="6" t="n"/>
      <c r="AW104" s="65" t="n"/>
      <c r="AX104" s="6" t="n"/>
      <c r="AY104" s="65" t="n"/>
      <c r="AZ104" s="6" t="n"/>
      <c r="BA104" s="65" t="n"/>
      <c r="BB104" s="5" t="n"/>
      <c r="BC104" s="6" t="n"/>
      <c r="BD104" s="65" t="n"/>
      <c r="BE104" s="6" t="n"/>
      <c r="BF104" s="64" t="n"/>
      <c r="BG104" s="5" t="n"/>
      <c r="BH104" s="6" t="n"/>
      <c r="BI104" s="66" t="n"/>
      <c r="BJ104" s="5" t="n"/>
      <c r="BK104" s="40" t="n"/>
    </row>
    <row r="105" ht="120" customHeight="1">
      <c r="A105" s="59" t="inlineStr">
        <is>
          <t>UAT-WEB-099</t>
        </is>
      </c>
      <c r="B105" s="6" t="n"/>
      <c r="C105" s="60" t="inlineStr">
        <is>
          <t>岡田電機管理者</t>
        </is>
      </c>
      <c r="D105" s="5" t="n"/>
      <c r="E105" s="5" t="n"/>
      <c r="F105" s="6" t="n"/>
      <c r="G105" s="60" t="inlineStr">
        <is>
          <t>アカウント出力・MVE同期</t>
        </is>
      </c>
      <c r="H105" s="5" t="n"/>
      <c r="I105" s="6" t="n"/>
      <c r="J105" s="60" t="inlineStr">
        <is>
          <t>ユーザー削除時の一連のメンテナンス処理：出力、メンテナンス、MVEインポート、終了</t>
        </is>
      </c>
      <c r="K105" s="5" t="n"/>
      <c r="L105" s="6" t="n"/>
      <c r="M105" s="60" t="inlineStr">
        <is>
          <t>テナント管理者が1名のユーザーを削除済み（状態「削除済み」）</t>
        </is>
      </c>
      <c r="N105" s="5" t="n"/>
      <c r="O105" s="5" t="n"/>
      <c r="P105" s="5" t="n"/>
      <c r="Q105" s="6" t="n"/>
      <c r="R105" s="60" t="inlineStr">
        <is>
          <t>① 岡田電機管理画面からユーザー一覧CSVを出力する
② 「メンテナンス開始」をクリックする
③ MVEシステムにログインし、出力したCSVファイルをインポートする
④ MVE上でインポート成功を確認する
⑤ ウェブ管理画面に戻り、「メンテナンス終了」をクリックする</t>
        </is>
      </c>
      <c r="S105" s="5" t="n"/>
      <c r="T105" s="5" t="n"/>
      <c r="U105" s="5" t="n"/>
      <c r="V105" s="5" t="n"/>
      <c r="W105" s="5" t="n"/>
      <c r="X105" s="6" t="n"/>
      <c r="Y105" s="60" t="inlineStr">
        <is>
          <t>「削除済み」ユーザーはCSVに含まれないためMVEから削除され、SIP情報は「削除済み」状態のユーザーに紐づかなくなる。
残りのユーザーはMVE上に引き続き存在する。</t>
        </is>
      </c>
      <c r="Z105" s="5" t="n"/>
      <c r="AA105" s="5" t="n"/>
      <c r="AB105" s="5" t="n"/>
      <c r="AC105" s="5" t="n"/>
      <c r="AD105" s="6" t="n"/>
      <c r="AE105" s="61" t="inlineStr">
        <is>
          <t>B</t>
        </is>
      </c>
      <c r="AF105" s="6" t="n"/>
      <c r="AG105" s="61" t="n"/>
      <c r="AH105" s="6" t="n"/>
      <c r="AI105" s="61" t="n"/>
      <c r="AJ105" s="6" t="n"/>
      <c r="AK105" s="61" t="n"/>
      <c r="AL105" s="6" t="n"/>
      <c r="AM105" s="61" t="n"/>
      <c r="AN105" s="5" t="n"/>
      <c r="AO105" s="6" t="n"/>
      <c r="AP105" s="61" t="n"/>
      <c r="AQ105" s="6" t="n"/>
      <c r="AR105" s="60" t="n"/>
      <c r="AS105" s="5" t="n"/>
      <c r="AT105" s="6" t="n"/>
      <c r="AU105" s="61" t="n"/>
      <c r="AV105" s="6" t="n"/>
      <c r="AW105" s="61" t="n"/>
      <c r="AX105" s="6" t="n"/>
      <c r="AY105" s="61" t="n"/>
      <c r="AZ105" s="6" t="n"/>
      <c r="BA105" s="61" t="n"/>
      <c r="BB105" s="5" t="n"/>
      <c r="BC105" s="6" t="n"/>
      <c r="BD105" s="61" t="n"/>
      <c r="BE105" s="6" t="n"/>
      <c r="BF105" s="60" t="n"/>
      <c r="BG105" s="5" t="n"/>
      <c r="BH105" s="6" t="n"/>
      <c r="BI105" s="62" t="n"/>
      <c r="BJ105" s="5" t="n"/>
      <c r="BK105" s="40" t="n"/>
    </row>
    <row r="106" ht="225" customHeight="1">
      <c r="A106" s="63" t="inlineStr">
        <is>
          <t>UAT-WEB-100</t>
        </is>
      </c>
      <c r="B106" s="6" t="n"/>
      <c r="C106" s="64" t="inlineStr">
        <is>
          <t>オンボーディングフロー</t>
        </is>
      </c>
      <c r="D106" s="5" t="n"/>
      <c r="E106" s="5" t="n"/>
      <c r="F106" s="6" t="n"/>
      <c r="G106" s="64" t="inlineStr">
        <is>
          <t>オンボーディング</t>
        </is>
      </c>
      <c r="H106" s="5" t="n"/>
      <c r="I106" s="6" t="n"/>
      <c r="J106" s="64" t="inlineStr">
        <is>
          <t>テナント作成、ユーザーアップロード、テナント管理者へのメール送信までの一連の確認</t>
        </is>
      </c>
      <c r="K106" s="5" t="n"/>
      <c r="L106" s="6" t="n"/>
      <c r="M106" s="64" t="inlineStr">
        <is>
          <t>使用中のテストテナントがなく、有効なユーザーCSVファイルがある</t>
        </is>
      </c>
      <c r="N106" s="5" t="n"/>
      <c r="O106" s="5" t="n"/>
      <c r="P106" s="5" t="n"/>
      <c r="Q106" s="6" t="n"/>
      <c r="R106" s="64" t="inlineStr">
        <is>
          <t>① システム管理者ロールのアカウントでログインする
② 「テナント作成」をクリックする
③ テナント作成画面で有効な情報を入力する
④ 「保存」→「OK」をクリックする
⑤ ユーザーアップロード確認ポップアップで「はい」をクリックする
⑥ 有効なユーザーCSVファイルをアップロードする
⑦ ユーザーが「登録待ち」で作成されたことを確認する
⑧ システム管理者が「ログイン情報通知」ボタンでテナント管理者へログインメールを送信する</t>
        </is>
      </c>
      <c r="S106" s="5" t="n"/>
      <c r="T106" s="5" t="n"/>
      <c r="U106" s="5" t="n"/>
      <c r="V106" s="5" t="n"/>
      <c r="W106" s="5" t="n"/>
      <c r="X106" s="6" t="n"/>
      <c r="Y106" s="64" t="inlineStr">
        <is>
          <t>テナントは「登録待ち」状態で正常に作成される。
ユーザーは「登録待ち」状態で作成され、テナント管理者はログインメールを受信する。</t>
        </is>
      </c>
      <c r="Z106" s="5" t="n"/>
      <c r="AA106" s="5" t="n"/>
      <c r="AB106" s="5" t="n"/>
      <c r="AC106" s="5" t="n"/>
      <c r="AD106" s="6" t="n"/>
      <c r="AE106" s="65" t="inlineStr">
        <is>
          <t>B</t>
        </is>
      </c>
      <c r="AF106" s="6" t="n"/>
      <c r="AG106" s="65" t="n"/>
      <c r="AH106" s="6" t="n"/>
      <c r="AI106" s="65" t="n"/>
      <c r="AJ106" s="6" t="n"/>
      <c r="AK106" s="65" t="n"/>
      <c r="AL106" s="6" t="n"/>
      <c r="AM106" s="65" t="n"/>
      <c r="AN106" s="5" t="n"/>
      <c r="AO106" s="6" t="n"/>
      <c r="AP106" s="65" t="n"/>
      <c r="AQ106" s="6" t="n"/>
      <c r="AR106" s="64" t="n"/>
      <c r="AS106" s="5" t="n"/>
      <c r="AT106" s="6" t="n"/>
      <c r="AU106" s="65" t="n"/>
      <c r="AV106" s="6" t="n"/>
      <c r="AW106" s="65" t="n"/>
      <c r="AX106" s="6" t="n"/>
      <c r="AY106" s="65" t="n"/>
      <c r="AZ106" s="6" t="n"/>
      <c r="BA106" s="65" t="n"/>
      <c r="BB106" s="5" t="n"/>
      <c r="BC106" s="6" t="n"/>
      <c r="BD106" s="65" t="n"/>
      <c r="BE106" s="6" t="n"/>
      <c r="BF106" s="64" t="n"/>
      <c r="BG106" s="5" t="n"/>
      <c r="BH106" s="6" t="n"/>
      <c r="BI106" s="66" t="n"/>
      <c r="BJ106" s="5" t="n"/>
      <c r="BK106" s="40" t="n"/>
    </row>
    <row r="107" ht="45" customHeight="1">
      <c r="A107" s="59" t="inlineStr">
        <is>
          <t>UAT-WEB-101</t>
        </is>
      </c>
      <c r="B107" s="6" t="n"/>
      <c r="C107" s="60" t="inlineStr">
        <is>
          <t>オンボーディングフロー</t>
        </is>
      </c>
      <c r="D107" s="5" t="n"/>
      <c r="E107" s="5" t="n"/>
      <c r="F107" s="6" t="n"/>
      <c r="G107" s="60" t="inlineStr">
        <is>
          <t>オンボーディング</t>
        </is>
      </c>
      <c r="H107" s="5" t="n"/>
      <c r="I107" s="6" t="n"/>
      <c r="J107" s="60" t="inlineStr">
        <is>
          <t>テナント作成直後のユーザーアップロード手順をスキップ</t>
        </is>
      </c>
      <c r="K107" s="5" t="n"/>
      <c r="L107" s="6" t="n"/>
      <c r="M107" s="60" t="inlineStr">
        <is>
          <t>新規テナントを作成直後で、アップロード確認ポップアップが表示されている</t>
        </is>
      </c>
      <c r="N107" s="5" t="n"/>
      <c r="O107" s="5" t="n"/>
      <c r="P107" s="5" t="n"/>
      <c r="Q107" s="6" t="n"/>
      <c r="R107" s="60" t="inlineStr">
        <is>
          <t>① 「ユーザー一括アップロード確認」ポップアップで
② 「いいえ」をクリックする</t>
        </is>
      </c>
      <c r="S107" s="5" t="n"/>
      <c r="T107" s="5" t="n"/>
      <c r="U107" s="5" t="n"/>
      <c r="V107" s="5" t="n"/>
      <c r="W107" s="5" t="n"/>
      <c r="X107" s="6" t="n"/>
      <c r="Y107" s="60" t="inlineStr">
        <is>
          <t>ポップアップが閉じ、テナント一覧画面へ戻る。ユーザーは後でアップロード可能。</t>
        </is>
      </c>
      <c r="Z107" s="5" t="n"/>
      <c r="AA107" s="5" t="n"/>
      <c r="AB107" s="5" t="n"/>
      <c r="AC107" s="5" t="n"/>
      <c r="AD107" s="6" t="n"/>
      <c r="AE107" s="61" t="inlineStr">
        <is>
          <t>B</t>
        </is>
      </c>
      <c r="AF107" s="6" t="n"/>
      <c r="AG107" s="61" t="n"/>
      <c r="AH107" s="6" t="n"/>
      <c r="AI107" s="61" t="n"/>
      <c r="AJ107" s="6" t="n"/>
      <c r="AK107" s="61" t="n"/>
      <c r="AL107" s="6" t="n"/>
      <c r="AM107" s="61" t="n"/>
      <c r="AN107" s="5" t="n"/>
      <c r="AO107" s="6" t="n"/>
      <c r="AP107" s="61" t="n"/>
      <c r="AQ107" s="6" t="n"/>
      <c r="AR107" s="60" t="n"/>
      <c r="AS107" s="5" t="n"/>
      <c r="AT107" s="6" t="n"/>
      <c r="AU107" s="61" t="n"/>
      <c r="AV107" s="6" t="n"/>
      <c r="AW107" s="61" t="n"/>
      <c r="AX107" s="6" t="n"/>
      <c r="AY107" s="61" t="n"/>
      <c r="AZ107" s="6" t="n"/>
      <c r="BA107" s="61" t="n"/>
      <c r="BB107" s="5" t="n"/>
      <c r="BC107" s="6" t="n"/>
      <c r="BD107" s="61" t="n"/>
      <c r="BE107" s="6" t="n"/>
      <c r="BF107" s="60" t="n"/>
      <c r="BG107" s="5" t="n"/>
      <c r="BH107" s="6" t="n"/>
      <c r="BI107" s="62" t="n"/>
      <c r="BJ107" s="5" t="n"/>
      <c r="BK107" s="40" t="n"/>
    </row>
    <row r="108" ht="105" customHeight="1">
      <c r="A108" s="63" t="inlineStr">
        <is>
          <t>UAT-WEB-102</t>
        </is>
      </c>
      <c r="B108" s="6" t="n"/>
      <c r="C108" s="64" t="inlineStr">
        <is>
          <t>オンボーディングフロー</t>
        </is>
      </c>
      <c r="D108" s="5" t="n"/>
      <c r="E108" s="5" t="n"/>
      <c r="F108" s="6" t="n"/>
      <c r="G108" s="64" t="inlineStr">
        <is>
          <t>オンボーディング</t>
        </is>
      </c>
      <c r="H108" s="5" t="n"/>
      <c r="I108" s="6" t="n"/>
      <c r="J108" s="64" t="inlineStr">
        <is>
          <t>岡田電機がIPGroup確認後、ユーザー状態が「登録済み」になることを確認</t>
        </is>
      </c>
      <c r="K108" s="5" t="n"/>
      <c r="L108" s="6" t="n"/>
      <c r="M108" s="64" t="inlineStr">
        <is>
          <t>「登録待ち」テナントでユーザーをアップロード済み。岡田電機がMVE上でIPGroupを設定済み。</t>
        </is>
      </c>
      <c r="N108" s="5" t="n"/>
      <c r="O108" s="5" t="n"/>
      <c r="P108" s="5" t="n"/>
      <c r="Q108" s="6" t="n"/>
      <c r="R108" s="64" t="inlineStr">
        <is>
          <t>① 岡田電機管理者ロールのアカウントでログインする
② 岡田電機が「IPグループ名作成完了」ボタンをクリックしてIPグループ名設定完了を確認する
③ システム管理者が対象テナントのユーザー一覧を確認する</t>
        </is>
      </c>
      <c r="S108" s="5" t="n"/>
      <c r="T108" s="5" t="n"/>
      <c r="U108" s="5" t="n"/>
      <c r="V108" s="5" t="n"/>
      <c r="W108" s="5" t="n"/>
      <c r="X108" s="6" t="n"/>
      <c r="Y108" s="64" t="inlineStr">
        <is>
          <t>テナント状態が「登録待ち」→「利用中」に変更され、ユーザー「登録待ち」は（MVE API成功時）自動で「登録済み」へ変更される。</t>
        </is>
      </c>
      <c r="Z108" s="5" t="n"/>
      <c r="AA108" s="5" t="n"/>
      <c r="AB108" s="5" t="n"/>
      <c r="AC108" s="5" t="n"/>
      <c r="AD108" s="6" t="n"/>
      <c r="AE108" s="65" t="inlineStr">
        <is>
          <t>B</t>
        </is>
      </c>
      <c r="AF108" s="6" t="n"/>
      <c r="AG108" s="65" t="n"/>
      <c r="AH108" s="6" t="n"/>
      <c r="AI108" s="65" t="n"/>
      <c r="AJ108" s="6" t="n"/>
      <c r="AK108" s="65" t="n"/>
      <c r="AL108" s="6" t="n"/>
      <c r="AM108" s="65" t="n"/>
      <c r="AN108" s="5" t="n"/>
      <c r="AO108" s="6" t="n"/>
      <c r="AP108" s="65" t="n"/>
      <c r="AQ108" s="6" t="n"/>
      <c r="AR108" s="64" t="n"/>
      <c r="AS108" s="5" t="n"/>
      <c r="AT108" s="6" t="n"/>
      <c r="AU108" s="65" t="n"/>
      <c r="AV108" s="6" t="n"/>
      <c r="AW108" s="65" t="n"/>
      <c r="AX108" s="6" t="n"/>
      <c r="AY108" s="65" t="n"/>
      <c r="AZ108" s="6" t="n"/>
      <c r="BA108" s="65" t="n"/>
      <c r="BB108" s="5" t="n"/>
      <c r="BC108" s="6" t="n"/>
      <c r="BD108" s="65" t="n"/>
      <c r="BE108" s="6" t="n"/>
      <c r="BF108" s="64" t="n"/>
      <c r="BG108" s="5" t="n"/>
      <c r="BH108" s="6" t="n"/>
      <c r="BI108" s="66" t="n"/>
      <c r="BJ108" s="5" t="n"/>
      <c r="BK108" s="40" t="n"/>
    </row>
    <row r="109" ht="135" customHeight="1">
      <c r="A109" s="59" t="inlineStr">
        <is>
          <t>UAT-WEB-103</t>
        </is>
      </c>
      <c r="B109" s="6" t="n"/>
      <c r="C109" s="60" t="inlineStr">
        <is>
          <t>オンボーディングフロー</t>
        </is>
      </c>
      <c r="D109" s="5" t="n"/>
      <c r="E109" s="5" t="n"/>
      <c r="F109" s="6" t="n"/>
      <c r="G109" s="60" t="inlineStr">
        <is>
          <t>オンボーディング</t>
        </is>
      </c>
      <c r="H109" s="5" t="n"/>
      <c r="I109" s="6" t="n"/>
      <c r="J109" s="60" t="inlineStr">
        <is>
          <t>ユーザーのアカウント有効化確認 — 状態「利用中」</t>
        </is>
      </c>
      <c r="K109" s="5" t="n"/>
      <c r="L109" s="6" t="n"/>
      <c r="M109" s="60" t="inlineStr">
        <is>
          <t>ユーザーが有効化メールを受信済みである（状態：「アクティブ待ち」）</t>
        </is>
      </c>
      <c r="N109" s="5" t="n"/>
      <c r="O109" s="5" t="n"/>
      <c r="P109" s="5" t="n"/>
      <c r="Q109" s="6" t="n"/>
      <c r="R109" s="60" t="inlineStr">
        <is>
          <t>① テナント管理者ロールのアカウントでログインする
② テナント管理者が「ログイン情報送信」ボタンでユーザーへアカウント有効化メールを送信する
③ ユーザーがメール内の有効化リンクをクリックする
④ 初回ログインとしてモバイルアプリにログインする</t>
        </is>
      </c>
      <c r="S109" s="5" t="n"/>
      <c r="T109" s="5" t="n"/>
      <c r="U109" s="5" t="n"/>
      <c r="V109" s="5" t="n"/>
      <c r="W109" s="5" t="n"/>
      <c r="X109" s="6" t="n"/>
      <c r="Y109" s="60" t="inlineStr">
        <is>
          <t>ユーザー状態が自動的に「アクティブ待ち」→「利用中」へ変更される。</t>
        </is>
      </c>
      <c r="Z109" s="5" t="n"/>
      <c r="AA109" s="5" t="n"/>
      <c r="AB109" s="5" t="n"/>
      <c r="AC109" s="5" t="n"/>
      <c r="AD109" s="6" t="n"/>
      <c r="AE109" s="61" t="inlineStr">
        <is>
          <t>B</t>
        </is>
      </c>
      <c r="AF109" s="6" t="n"/>
      <c r="AG109" s="61" t="n"/>
      <c r="AH109" s="6" t="n"/>
      <c r="AI109" s="61" t="n"/>
      <c r="AJ109" s="6" t="n"/>
      <c r="AK109" s="61" t="n"/>
      <c r="AL109" s="6" t="n"/>
      <c r="AM109" s="61" t="n"/>
      <c r="AN109" s="5" t="n"/>
      <c r="AO109" s="6" t="n"/>
      <c r="AP109" s="61" t="n"/>
      <c r="AQ109" s="6" t="n"/>
      <c r="AR109" s="60" t="n"/>
      <c r="AS109" s="5" t="n"/>
      <c r="AT109" s="6" t="n"/>
      <c r="AU109" s="61" t="n"/>
      <c r="AV109" s="6" t="n"/>
      <c r="AW109" s="61" t="n"/>
      <c r="AX109" s="6" t="n"/>
      <c r="AY109" s="61" t="n"/>
      <c r="AZ109" s="6" t="n"/>
      <c r="BA109" s="61" t="n"/>
      <c r="BB109" s="5" t="n"/>
      <c r="BC109" s="6" t="n"/>
      <c r="BD109" s="61" t="n"/>
      <c r="BE109" s="6" t="n"/>
      <c r="BF109" s="60" t="n"/>
      <c r="BG109" s="5" t="n"/>
      <c r="BH109" s="6" t="n"/>
      <c r="BI109" s="62" t="n"/>
      <c r="BJ109" s="5" t="n"/>
      <c r="BK109" s="40" t="n"/>
    </row>
    <row r="110" ht="45" customHeight="1">
      <c r="A110" s="63" t="inlineStr">
        <is>
          <t>UAT-WEB-104</t>
        </is>
      </c>
      <c r="B110" s="6" t="n"/>
      <c r="C110" s="64" t="inlineStr">
        <is>
          <t>オンボーディングフロー</t>
        </is>
      </c>
      <c r="D110" s="5" t="n"/>
      <c r="E110" s="5" t="n"/>
      <c r="F110" s="6" t="n"/>
      <c r="G110" s="64" t="inlineStr">
        <is>
          <t>オンボーディング</t>
        </is>
      </c>
      <c r="H110" s="5" t="n"/>
      <c r="I110" s="6" t="n"/>
      <c r="J110" s="64" t="inlineStr">
        <is>
          <t>メール受信後にテナント管理者がログインできることを確認</t>
        </is>
      </c>
      <c r="K110" s="5" t="n"/>
      <c r="L110" s="6" t="n"/>
      <c r="M110" s="64" t="inlineStr">
        <is>
          <t>テナント管理者がシステム管理者からログインメールを受信済み</t>
        </is>
      </c>
      <c r="N110" s="5" t="n"/>
      <c r="O110" s="5" t="n"/>
      <c r="P110" s="5" t="n"/>
      <c r="Q110" s="6" t="n"/>
      <c r="R110" s="64" t="inlineStr">
        <is>
          <t>① テナント管理者がメール内の情報を使用してウェブ管理画面にログインする</t>
        </is>
      </c>
      <c r="S110" s="5" t="n"/>
      <c r="T110" s="5" t="n"/>
      <c r="U110" s="5" t="n"/>
      <c r="V110" s="5" t="n"/>
      <c r="W110" s="5" t="n"/>
      <c r="X110" s="6" t="n"/>
      <c r="Y110" s="64" t="inlineStr">
        <is>
          <t>ログイン成功。自テナントのユーザー一覧画面へ遷移する。</t>
        </is>
      </c>
      <c r="Z110" s="5" t="n"/>
      <c r="AA110" s="5" t="n"/>
      <c r="AB110" s="5" t="n"/>
      <c r="AC110" s="5" t="n"/>
      <c r="AD110" s="6" t="n"/>
      <c r="AE110" s="65" t="inlineStr">
        <is>
          <t>N</t>
        </is>
      </c>
      <c r="AF110" s="6" t="n"/>
      <c r="AG110" s="65" t="n"/>
      <c r="AH110" s="6" t="n"/>
      <c r="AI110" s="65" t="n"/>
      <c r="AJ110" s="6" t="n"/>
      <c r="AK110" s="65" t="n"/>
      <c r="AL110" s="6" t="n"/>
      <c r="AM110" s="65" t="n"/>
      <c r="AN110" s="5" t="n"/>
      <c r="AO110" s="6" t="n"/>
      <c r="AP110" s="65" t="n"/>
      <c r="AQ110" s="6" t="n"/>
      <c r="AR110" s="64" t="n"/>
      <c r="AS110" s="5" t="n"/>
      <c r="AT110" s="6" t="n"/>
      <c r="AU110" s="65" t="n"/>
      <c r="AV110" s="6" t="n"/>
      <c r="AW110" s="65" t="n"/>
      <c r="AX110" s="6" t="n"/>
      <c r="AY110" s="65" t="n"/>
      <c r="AZ110" s="6" t="n"/>
      <c r="BA110" s="65" t="n"/>
      <c r="BB110" s="5" t="n"/>
      <c r="BC110" s="6" t="n"/>
      <c r="BD110" s="65" t="n"/>
      <c r="BE110" s="6" t="n"/>
      <c r="BF110" s="64" t="n"/>
      <c r="BG110" s="5" t="n"/>
      <c r="BH110" s="6" t="n"/>
      <c r="BI110" s="66" t="n"/>
      <c r="BJ110" s="5" t="n"/>
      <c r="BK110" s="40" t="n"/>
    </row>
    <row r="111" ht="20" customHeight="1">
      <c r="A111" s="59" t="n"/>
      <c r="B111" s="6" t="n"/>
      <c r="C111" s="60" t="n"/>
      <c r="D111" s="5" t="n"/>
      <c r="E111" s="5" t="n"/>
      <c r="F111" s="6" t="n"/>
      <c r="G111" s="60" t="n"/>
      <c r="H111" s="5" t="n"/>
      <c r="I111" s="6" t="n"/>
      <c r="J111" s="60" t="n"/>
      <c r="K111" s="5" t="n"/>
      <c r="L111" s="6" t="n"/>
      <c r="M111" s="60" t="n"/>
      <c r="N111" s="5" t="n"/>
      <c r="O111" s="5" t="n"/>
      <c r="P111" s="5" t="n"/>
      <c r="Q111" s="6" t="n"/>
      <c r="R111" s="60" t="n"/>
      <c r="S111" s="5" t="n"/>
      <c r="T111" s="5" t="n"/>
      <c r="U111" s="5" t="n"/>
      <c r="V111" s="5" t="n"/>
      <c r="W111" s="5" t="n"/>
      <c r="X111" s="6" t="n"/>
      <c r="Y111" s="60" t="n"/>
      <c r="Z111" s="5" t="n"/>
      <c r="AA111" s="5" t="n"/>
      <c r="AB111" s="5" t="n"/>
      <c r="AC111" s="5" t="n"/>
      <c r="AD111" s="6" t="n"/>
      <c r="AE111" s="61" t="n"/>
      <c r="AF111" s="6" t="n"/>
      <c r="AG111" s="61" t="n"/>
      <c r="AH111" s="6" t="n"/>
      <c r="AI111" s="61" t="n"/>
      <c r="AJ111" s="6" t="n"/>
      <c r="AK111" s="61" t="n"/>
      <c r="AL111" s="6" t="n"/>
      <c r="AM111" s="61" t="n"/>
      <c r="AN111" s="5" t="n"/>
      <c r="AO111" s="6" t="n"/>
      <c r="AP111" s="61" t="n"/>
      <c r="AQ111" s="6" t="n"/>
      <c r="AR111" s="60" t="n"/>
      <c r="AS111" s="5" t="n"/>
      <c r="AT111" s="6" t="n"/>
      <c r="AU111" s="61" t="n"/>
      <c r="AV111" s="6" t="n"/>
      <c r="AW111" s="61" t="n"/>
      <c r="AX111" s="6" t="n"/>
      <c r="AY111" s="61" t="n"/>
      <c r="AZ111" s="6" t="n"/>
      <c r="BA111" s="61" t="n"/>
      <c r="BB111" s="5" t="n"/>
      <c r="BC111" s="6" t="n"/>
      <c r="BD111" s="61" t="n"/>
      <c r="BE111" s="6" t="n"/>
      <c r="BF111" s="60" t="n"/>
      <c r="BG111" s="5" t="n"/>
      <c r="BH111" s="6" t="n"/>
      <c r="BI111" s="62" t="n"/>
      <c r="BJ111" s="5" t="n"/>
      <c r="BK111" s="40" t="n"/>
    </row>
    <row r="112" ht="20" customHeight="1">
      <c r="A112" s="63" t="n"/>
      <c r="B112" s="6" t="n"/>
      <c r="C112" s="64" t="n"/>
      <c r="D112" s="5" t="n"/>
      <c r="E112" s="5" t="n"/>
      <c r="F112" s="6" t="n"/>
      <c r="G112" s="64" t="n"/>
      <c r="H112" s="5" t="n"/>
      <c r="I112" s="6" t="n"/>
      <c r="J112" s="64" t="n"/>
      <c r="K112" s="5" t="n"/>
      <c r="L112" s="6" t="n"/>
      <c r="M112" s="64" t="n"/>
      <c r="N112" s="5" t="n"/>
      <c r="O112" s="5" t="n"/>
      <c r="P112" s="5" t="n"/>
      <c r="Q112" s="6" t="n"/>
      <c r="R112" s="64" t="n"/>
      <c r="S112" s="5" t="n"/>
      <c r="T112" s="5" t="n"/>
      <c r="U112" s="5" t="n"/>
      <c r="V112" s="5" t="n"/>
      <c r="W112" s="5" t="n"/>
      <c r="X112" s="6" t="n"/>
      <c r="Y112" s="64" t="n"/>
      <c r="Z112" s="5" t="n"/>
      <c r="AA112" s="5" t="n"/>
      <c r="AB112" s="5" t="n"/>
      <c r="AC112" s="5" t="n"/>
      <c r="AD112" s="6" t="n"/>
      <c r="AE112" s="65" t="n"/>
      <c r="AF112" s="6" t="n"/>
      <c r="AG112" s="65" t="n"/>
      <c r="AH112" s="6" t="n"/>
      <c r="AI112" s="65" t="n"/>
      <c r="AJ112" s="6" t="n"/>
      <c r="AK112" s="65" t="n"/>
      <c r="AL112" s="6" t="n"/>
      <c r="AM112" s="65" t="n"/>
      <c r="AN112" s="5" t="n"/>
      <c r="AO112" s="6" t="n"/>
      <c r="AP112" s="65" t="n"/>
      <c r="AQ112" s="6" t="n"/>
      <c r="AR112" s="64" t="n"/>
      <c r="AS112" s="5" t="n"/>
      <c r="AT112" s="6" t="n"/>
      <c r="AU112" s="65" t="n"/>
      <c r="AV112" s="6" t="n"/>
      <c r="AW112" s="65" t="n"/>
      <c r="AX112" s="6" t="n"/>
      <c r="AY112" s="65" t="n"/>
      <c r="AZ112" s="6" t="n"/>
      <c r="BA112" s="65" t="n"/>
      <c r="BB112" s="5" t="n"/>
      <c r="BC112" s="6" t="n"/>
      <c r="BD112" s="65" t="n"/>
      <c r="BE112" s="6" t="n"/>
      <c r="BF112" s="64" t="n"/>
      <c r="BG112" s="5" t="n"/>
      <c r="BH112" s="6" t="n"/>
      <c r="BI112" s="66" t="n"/>
      <c r="BJ112" s="5" t="n"/>
      <c r="BK112" s="40" t="n"/>
    </row>
    <row r="113" ht="20" customHeight="1">
      <c r="A113" s="59" t="n"/>
      <c r="B113" s="6" t="n"/>
      <c r="C113" s="60" t="n"/>
      <c r="D113" s="5" t="n"/>
      <c r="E113" s="5" t="n"/>
      <c r="F113" s="6" t="n"/>
      <c r="G113" s="60" t="n"/>
      <c r="H113" s="5" t="n"/>
      <c r="I113" s="6" t="n"/>
      <c r="J113" s="60" t="n"/>
      <c r="K113" s="5" t="n"/>
      <c r="L113" s="6" t="n"/>
      <c r="M113" s="60" t="n"/>
      <c r="N113" s="5" t="n"/>
      <c r="O113" s="5" t="n"/>
      <c r="P113" s="5" t="n"/>
      <c r="Q113" s="6" t="n"/>
      <c r="R113" s="60" t="n"/>
      <c r="S113" s="5" t="n"/>
      <c r="T113" s="5" t="n"/>
      <c r="U113" s="5" t="n"/>
      <c r="V113" s="5" t="n"/>
      <c r="W113" s="5" t="n"/>
      <c r="X113" s="6" t="n"/>
      <c r="Y113" s="60" t="n"/>
      <c r="Z113" s="5" t="n"/>
      <c r="AA113" s="5" t="n"/>
      <c r="AB113" s="5" t="n"/>
      <c r="AC113" s="5" t="n"/>
      <c r="AD113" s="6" t="n"/>
      <c r="AE113" s="61" t="n"/>
      <c r="AF113" s="6" t="n"/>
      <c r="AG113" s="61" t="n"/>
      <c r="AH113" s="6" t="n"/>
      <c r="AI113" s="61" t="n"/>
      <c r="AJ113" s="6" t="n"/>
      <c r="AK113" s="61" t="n"/>
      <c r="AL113" s="6" t="n"/>
      <c r="AM113" s="61" t="n"/>
      <c r="AN113" s="5" t="n"/>
      <c r="AO113" s="6" t="n"/>
      <c r="AP113" s="61" t="n"/>
      <c r="AQ113" s="6" t="n"/>
      <c r="AR113" s="60" t="n"/>
      <c r="AS113" s="5" t="n"/>
      <c r="AT113" s="6" t="n"/>
      <c r="AU113" s="61" t="n"/>
      <c r="AV113" s="6" t="n"/>
      <c r="AW113" s="61" t="n"/>
      <c r="AX113" s="6" t="n"/>
      <c r="AY113" s="61" t="n"/>
      <c r="AZ113" s="6" t="n"/>
      <c r="BA113" s="61" t="n"/>
      <c r="BB113" s="5" t="n"/>
      <c r="BC113" s="6" t="n"/>
      <c r="BD113" s="61" t="n"/>
      <c r="BE113" s="6" t="n"/>
      <c r="BF113" s="60" t="n"/>
      <c r="BG113" s="5" t="n"/>
      <c r="BH113" s="6" t="n"/>
      <c r="BI113" s="62" t="n"/>
      <c r="BJ113" s="5" t="n"/>
      <c r="BK113" s="40" t="n"/>
    </row>
    <row r="114" ht="20" customHeight="1">
      <c r="A114" s="63" t="n"/>
      <c r="B114" s="6" t="n"/>
      <c r="C114" s="64" t="n"/>
      <c r="D114" s="5" t="n"/>
      <c r="E114" s="5" t="n"/>
      <c r="F114" s="6" t="n"/>
      <c r="G114" s="64" t="n"/>
      <c r="H114" s="5" t="n"/>
      <c r="I114" s="6" t="n"/>
      <c r="J114" s="64" t="n"/>
      <c r="K114" s="5" t="n"/>
      <c r="L114" s="6" t="n"/>
      <c r="M114" s="64" t="n"/>
      <c r="N114" s="5" t="n"/>
      <c r="O114" s="5" t="n"/>
      <c r="P114" s="5" t="n"/>
      <c r="Q114" s="6" t="n"/>
      <c r="R114" s="64" t="n"/>
      <c r="S114" s="5" t="n"/>
      <c r="T114" s="5" t="n"/>
      <c r="U114" s="5" t="n"/>
      <c r="V114" s="5" t="n"/>
      <c r="W114" s="5" t="n"/>
      <c r="X114" s="6" t="n"/>
      <c r="Y114" s="64" t="n"/>
      <c r="Z114" s="5" t="n"/>
      <c r="AA114" s="5" t="n"/>
      <c r="AB114" s="5" t="n"/>
      <c r="AC114" s="5" t="n"/>
      <c r="AD114" s="6" t="n"/>
      <c r="AE114" s="65" t="n"/>
      <c r="AF114" s="6" t="n"/>
      <c r="AG114" s="65" t="n"/>
      <c r="AH114" s="6" t="n"/>
      <c r="AI114" s="65" t="n"/>
      <c r="AJ114" s="6" t="n"/>
      <c r="AK114" s="65" t="n"/>
      <c r="AL114" s="6" t="n"/>
      <c r="AM114" s="65" t="n"/>
      <c r="AN114" s="5" t="n"/>
      <c r="AO114" s="6" t="n"/>
      <c r="AP114" s="65" t="n"/>
      <c r="AQ114" s="6" t="n"/>
      <c r="AR114" s="64" t="n"/>
      <c r="AS114" s="5" t="n"/>
      <c r="AT114" s="6" t="n"/>
      <c r="AU114" s="65" t="n"/>
      <c r="AV114" s="6" t="n"/>
      <c r="AW114" s="65" t="n"/>
      <c r="AX114" s="6" t="n"/>
      <c r="AY114" s="65" t="n"/>
      <c r="AZ114" s="6" t="n"/>
      <c r="BA114" s="65" t="n"/>
      <c r="BB114" s="5" t="n"/>
      <c r="BC114" s="6" t="n"/>
      <c r="BD114" s="65" t="n"/>
      <c r="BE114" s="6" t="n"/>
      <c r="BF114" s="64" t="n"/>
      <c r="BG114" s="5" t="n"/>
      <c r="BH114" s="6" t="n"/>
      <c r="BI114" s="66" t="n"/>
      <c r="BJ114" s="5" t="n"/>
      <c r="BK114" s="40" t="n"/>
    </row>
    <row r="115" ht="20" customHeight="1">
      <c r="A115" s="59" t="n"/>
      <c r="B115" s="6" t="n"/>
      <c r="C115" s="60" t="n"/>
      <c r="D115" s="5" t="n"/>
      <c r="E115" s="5" t="n"/>
      <c r="F115" s="6" t="n"/>
      <c r="G115" s="60" t="n"/>
      <c r="H115" s="5" t="n"/>
      <c r="I115" s="6" t="n"/>
      <c r="J115" s="60" t="n"/>
      <c r="K115" s="5" t="n"/>
      <c r="L115" s="6" t="n"/>
      <c r="M115" s="60" t="n"/>
      <c r="N115" s="5" t="n"/>
      <c r="O115" s="5" t="n"/>
      <c r="P115" s="5" t="n"/>
      <c r="Q115" s="6" t="n"/>
      <c r="R115" s="60" t="n"/>
      <c r="S115" s="5" t="n"/>
      <c r="T115" s="5" t="n"/>
      <c r="U115" s="5" t="n"/>
      <c r="V115" s="5" t="n"/>
      <c r="W115" s="5" t="n"/>
      <c r="X115" s="6" t="n"/>
      <c r="Y115" s="60" t="n"/>
      <c r="Z115" s="5" t="n"/>
      <c r="AA115" s="5" t="n"/>
      <c r="AB115" s="5" t="n"/>
      <c r="AC115" s="5" t="n"/>
      <c r="AD115" s="6" t="n"/>
      <c r="AE115" s="61" t="n"/>
      <c r="AF115" s="6" t="n"/>
      <c r="AG115" s="61" t="n"/>
      <c r="AH115" s="6" t="n"/>
      <c r="AI115" s="61" t="n"/>
      <c r="AJ115" s="6" t="n"/>
      <c r="AK115" s="61" t="n"/>
      <c r="AL115" s="6" t="n"/>
      <c r="AM115" s="61" t="n"/>
      <c r="AN115" s="5" t="n"/>
      <c r="AO115" s="6" t="n"/>
      <c r="AP115" s="61" t="n"/>
      <c r="AQ115" s="6" t="n"/>
      <c r="AR115" s="60" t="n"/>
      <c r="AS115" s="5" t="n"/>
      <c r="AT115" s="6" t="n"/>
      <c r="AU115" s="61" t="n"/>
      <c r="AV115" s="6" t="n"/>
      <c r="AW115" s="61" t="n"/>
      <c r="AX115" s="6" t="n"/>
      <c r="AY115" s="61" t="n"/>
      <c r="AZ115" s="6" t="n"/>
      <c r="BA115" s="61" t="n"/>
      <c r="BB115" s="5" t="n"/>
      <c r="BC115" s="6" t="n"/>
      <c r="BD115" s="61" t="n"/>
      <c r="BE115" s="6" t="n"/>
      <c r="BF115" s="60" t="n"/>
      <c r="BG115" s="5" t="n"/>
      <c r="BH115" s="6" t="n"/>
      <c r="BI115" s="62" t="n"/>
      <c r="BJ115" s="5" t="n"/>
      <c r="BK115" s="40" t="n"/>
    </row>
    <row r="116" ht="20" customHeight="1">
      <c r="A116" s="63" t="n"/>
      <c r="B116" s="6" t="n"/>
      <c r="C116" s="64" t="n"/>
      <c r="D116" s="5" t="n"/>
      <c r="E116" s="5" t="n"/>
      <c r="F116" s="6" t="n"/>
      <c r="G116" s="64" t="n"/>
      <c r="H116" s="5" t="n"/>
      <c r="I116" s="6" t="n"/>
      <c r="J116" s="64" t="n"/>
      <c r="K116" s="5" t="n"/>
      <c r="L116" s="6" t="n"/>
      <c r="M116" s="64" t="n"/>
      <c r="N116" s="5" t="n"/>
      <c r="O116" s="5" t="n"/>
      <c r="P116" s="5" t="n"/>
      <c r="Q116" s="6" t="n"/>
      <c r="R116" s="64" t="n"/>
      <c r="S116" s="5" t="n"/>
      <c r="T116" s="5" t="n"/>
      <c r="U116" s="5" t="n"/>
      <c r="V116" s="5" t="n"/>
      <c r="W116" s="5" t="n"/>
      <c r="X116" s="6" t="n"/>
      <c r="Y116" s="64" t="n"/>
      <c r="Z116" s="5" t="n"/>
      <c r="AA116" s="5" t="n"/>
      <c r="AB116" s="5" t="n"/>
      <c r="AC116" s="5" t="n"/>
      <c r="AD116" s="6" t="n"/>
      <c r="AE116" s="65" t="n"/>
      <c r="AF116" s="6" t="n"/>
      <c r="AG116" s="65" t="n"/>
      <c r="AH116" s="6" t="n"/>
      <c r="AI116" s="65" t="n"/>
      <c r="AJ116" s="6" t="n"/>
      <c r="AK116" s="65" t="n"/>
      <c r="AL116" s="6" t="n"/>
      <c r="AM116" s="65" t="n"/>
      <c r="AN116" s="5" t="n"/>
      <c r="AO116" s="6" t="n"/>
      <c r="AP116" s="65" t="n"/>
      <c r="AQ116" s="6" t="n"/>
      <c r="AR116" s="64" t="n"/>
      <c r="AS116" s="5" t="n"/>
      <c r="AT116" s="6" t="n"/>
      <c r="AU116" s="65" t="n"/>
      <c r="AV116" s="6" t="n"/>
      <c r="AW116" s="65" t="n"/>
      <c r="AX116" s="6" t="n"/>
      <c r="AY116" s="65" t="n"/>
      <c r="AZ116" s="6" t="n"/>
      <c r="BA116" s="65" t="n"/>
      <c r="BB116" s="5" t="n"/>
      <c r="BC116" s="6" t="n"/>
      <c r="BD116" s="65" t="n"/>
      <c r="BE116" s="6" t="n"/>
      <c r="BF116" s="64" t="n"/>
      <c r="BG116" s="5" t="n"/>
      <c r="BH116" s="6" t="n"/>
      <c r="BI116" s="66" t="n"/>
      <c r="BJ116" s="5" t="n"/>
      <c r="BK116" s="40" t="n"/>
    </row>
    <row r="117" ht="20" customHeight="1">
      <c r="A117" s="59" t="n"/>
      <c r="B117" s="6" t="n"/>
      <c r="C117" s="60" t="n"/>
      <c r="D117" s="5" t="n"/>
      <c r="E117" s="5" t="n"/>
      <c r="F117" s="6" t="n"/>
      <c r="G117" s="60" t="n"/>
      <c r="H117" s="5" t="n"/>
      <c r="I117" s="6" t="n"/>
      <c r="J117" s="60" t="n"/>
      <c r="K117" s="5" t="n"/>
      <c r="L117" s="6" t="n"/>
      <c r="M117" s="60" t="n"/>
      <c r="N117" s="5" t="n"/>
      <c r="O117" s="5" t="n"/>
      <c r="P117" s="5" t="n"/>
      <c r="Q117" s="6" t="n"/>
      <c r="R117" s="60" t="n"/>
      <c r="S117" s="5" t="n"/>
      <c r="T117" s="5" t="n"/>
      <c r="U117" s="5" t="n"/>
      <c r="V117" s="5" t="n"/>
      <c r="W117" s="5" t="n"/>
      <c r="X117" s="6" t="n"/>
      <c r="Y117" s="60" t="n"/>
      <c r="Z117" s="5" t="n"/>
      <c r="AA117" s="5" t="n"/>
      <c r="AB117" s="5" t="n"/>
      <c r="AC117" s="5" t="n"/>
      <c r="AD117" s="6" t="n"/>
      <c r="AE117" s="61" t="n"/>
      <c r="AF117" s="6" t="n"/>
      <c r="AG117" s="61" t="n"/>
      <c r="AH117" s="6" t="n"/>
      <c r="AI117" s="61" t="n"/>
      <c r="AJ117" s="6" t="n"/>
      <c r="AK117" s="61" t="n"/>
      <c r="AL117" s="6" t="n"/>
      <c r="AM117" s="61" t="n"/>
      <c r="AN117" s="5" t="n"/>
      <c r="AO117" s="6" t="n"/>
      <c r="AP117" s="61" t="n"/>
      <c r="AQ117" s="6" t="n"/>
      <c r="AR117" s="60" t="n"/>
      <c r="AS117" s="5" t="n"/>
      <c r="AT117" s="6" t="n"/>
      <c r="AU117" s="61" t="n"/>
      <c r="AV117" s="6" t="n"/>
      <c r="AW117" s="61" t="n"/>
      <c r="AX117" s="6" t="n"/>
      <c r="AY117" s="61" t="n"/>
      <c r="AZ117" s="6" t="n"/>
      <c r="BA117" s="61" t="n"/>
      <c r="BB117" s="5" t="n"/>
      <c r="BC117" s="6" t="n"/>
      <c r="BD117" s="61" t="n"/>
      <c r="BE117" s="6" t="n"/>
      <c r="BF117" s="60" t="n"/>
      <c r="BG117" s="5" t="n"/>
      <c r="BH117" s="6" t="n"/>
      <c r="BI117" s="62" t="n"/>
      <c r="BJ117" s="5" t="n"/>
      <c r="BK117" s="40" t="n"/>
    </row>
    <row r="118" ht="20" customHeight="1">
      <c r="A118" s="63" t="n"/>
      <c r="B118" s="6" t="n"/>
      <c r="C118" s="64" t="n"/>
      <c r="D118" s="5" t="n"/>
      <c r="E118" s="5" t="n"/>
      <c r="F118" s="6" t="n"/>
      <c r="G118" s="64" t="n"/>
      <c r="H118" s="5" t="n"/>
      <c r="I118" s="6" t="n"/>
      <c r="J118" s="64" t="n"/>
      <c r="K118" s="5" t="n"/>
      <c r="L118" s="6" t="n"/>
      <c r="M118" s="64" t="n"/>
      <c r="N118" s="5" t="n"/>
      <c r="O118" s="5" t="n"/>
      <c r="P118" s="5" t="n"/>
      <c r="Q118" s="6" t="n"/>
      <c r="R118" s="64" t="n"/>
      <c r="S118" s="5" t="n"/>
      <c r="T118" s="5" t="n"/>
      <c r="U118" s="5" t="n"/>
      <c r="V118" s="5" t="n"/>
      <c r="W118" s="5" t="n"/>
      <c r="X118" s="6" t="n"/>
      <c r="Y118" s="64" t="n"/>
      <c r="Z118" s="5" t="n"/>
      <c r="AA118" s="5" t="n"/>
      <c r="AB118" s="5" t="n"/>
      <c r="AC118" s="5" t="n"/>
      <c r="AD118" s="6" t="n"/>
      <c r="AE118" s="65" t="n"/>
      <c r="AF118" s="6" t="n"/>
      <c r="AG118" s="65" t="n"/>
      <c r="AH118" s="6" t="n"/>
      <c r="AI118" s="65" t="n"/>
      <c r="AJ118" s="6" t="n"/>
      <c r="AK118" s="65" t="n"/>
      <c r="AL118" s="6" t="n"/>
      <c r="AM118" s="65" t="n"/>
      <c r="AN118" s="5" t="n"/>
      <c r="AO118" s="6" t="n"/>
      <c r="AP118" s="65" t="n"/>
      <c r="AQ118" s="6" t="n"/>
      <c r="AR118" s="64" t="n"/>
      <c r="AS118" s="5" t="n"/>
      <c r="AT118" s="6" t="n"/>
      <c r="AU118" s="65" t="n"/>
      <c r="AV118" s="6" t="n"/>
      <c r="AW118" s="65" t="n"/>
      <c r="AX118" s="6" t="n"/>
      <c r="AY118" s="65" t="n"/>
      <c r="AZ118" s="6" t="n"/>
      <c r="BA118" s="65" t="n"/>
      <c r="BB118" s="5" t="n"/>
      <c r="BC118" s="6" t="n"/>
      <c r="BD118" s="65" t="n"/>
      <c r="BE118" s="6" t="n"/>
      <c r="BF118" s="64" t="n"/>
      <c r="BG118" s="5" t="n"/>
      <c r="BH118" s="6" t="n"/>
      <c r="BI118" s="66" t="n"/>
      <c r="BJ118" s="5" t="n"/>
      <c r="BK118" s="40" t="n"/>
    </row>
    <row r="119" ht="20" customHeight="1">
      <c r="A119" s="59" t="n"/>
      <c r="B119" s="6" t="n"/>
      <c r="C119" s="60" t="n"/>
      <c r="D119" s="5" t="n"/>
      <c r="E119" s="5" t="n"/>
      <c r="F119" s="6" t="n"/>
      <c r="G119" s="60" t="n"/>
      <c r="H119" s="5" t="n"/>
      <c r="I119" s="6" t="n"/>
      <c r="J119" s="60" t="n"/>
      <c r="K119" s="5" t="n"/>
      <c r="L119" s="6" t="n"/>
      <c r="M119" s="60" t="n"/>
      <c r="N119" s="5" t="n"/>
      <c r="O119" s="5" t="n"/>
      <c r="P119" s="5" t="n"/>
      <c r="Q119" s="6" t="n"/>
      <c r="R119" s="60" t="n"/>
      <c r="S119" s="5" t="n"/>
      <c r="T119" s="5" t="n"/>
      <c r="U119" s="5" t="n"/>
      <c r="V119" s="5" t="n"/>
      <c r="W119" s="5" t="n"/>
      <c r="X119" s="6" t="n"/>
      <c r="Y119" s="60" t="n"/>
      <c r="Z119" s="5" t="n"/>
      <c r="AA119" s="5" t="n"/>
      <c r="AB119" s="5" t="n"/>
      <c r="AC119" s="5" t="n"/>
      <c r="AD119" s="6" t="n"/>
      <c r="AE119" s="61" t="n"/>
      <c r="AF119" s="6" t="n"/>
      <c r="AG119" s="61" t="n"/>
      <c r="AH119" s="6" t="n"/>
      <c r="AI119" s="61" t="n"/>
      <c r="AJ119" s="6" t="n"/>
      <c r="AK119" s="61" t="n"/>
      <c r="AL119" s="6" t="n"/>
      <c r="AM119" s="61" t="n"/>
      <c r="AN119" s="5" t="n"/>
      <c r="AO119" s="6" t="n"/>
      <c r="AP119" s="61" t="n"/>
      <c r="AQ119" s="6" t="n"/>
      <c r="AR119" s="60" t="n"/>
      <c r="AS119" s="5" t="n"/>
      <c r="AT119" s="6" t="n"/>
      <c r="AU119" s="61" t="n"/>
      <c r="AV119" s="6" t="n"/>
      <c r="AW119" s="61" t="n"/>
      <c r="AX119" s="6" t="n"/>
      <c r="AY119" s="61" t="n"/>
      <c r="AZ119" s="6" t="n"/>
      <c r="BA119" s="61" t="n"/>
      <c r="BB119" s="5" t="n"/>
      <c r="BC119" s="6" t="n"/>
      <c r="BD119" s="61" t="n"/>
      <c r="BE119" s="6" t="n"/>
      <c r="BF119" s="60" t="n"/>
      <c r="BG119" s="5" t="n"/>
      <c r="BH119" s="6" t="n"/>
      <c r="BI119" s="62" t="n"/>
      <c r="BJ119" s="5" t="n"/>
      <c r="BK119" s="40" t="n"/>
    </row>
    <row r="120" ht="20" customHeight="1">
      <c r="A120" s="63" t="n"/>
      <c r="B120" s="6" t="n"/>
      <c r="C120" s="64" t="n"/>
      <c r="D120" s="5" t="n"/>
      <c r="E120" s="5" t="n"/>
      <c r="F120" s="6" t="n"/>
      <c r="G120" s="64" t="n"/>
      <c r="H120" s="5" t="n"/>
      <c r="I120" s="6" t="n"/>
      <c r="J120" s="64" t="n"/>
      <c r="K120" s="5" t="n"/>
      <c r="L120" s="6" t="n"/>
      <c r="M120" s="64" t="n"/>
      <c r="N120" s="5" t="n"/>
      <c r="O120" s="5" t="n"/>
      <c r="P120" s="5" t="n"/>
      <c r="Q120" s="6" t="n"/>
      <c r="R120" s="64" t="n"/>
      <c r="S120" s="5" t="n"/>
      <c r="T120" s="5" t="n"/>
      <c r="U120" s="5" t="n"/>
      <c r="V120" s="5" t="n"/>
      <c r="W120" s="5" t="n"/>
      <c r="X120" s="6" t="n"/>
      <c r="Y120" s="64" t="n"/>
      <c r="Z120" s="5" t="n"/>
      <c r="AA120" s="5" t="n"/>
      <c r="AB120" s="5" t="n"/>
      <c r="AC120" s="5" t="n"/>
      <c r="AD120" s="6" t="n"/>
      <c r="AE120" s="65" t="n"/>
      <c r="AF120" s="6" t="n"/>
      <c r="AG120" s="65" t="n"/>
      <c r="AH120" s="6" t="n"/>
      <c r="AI120" s="65" t="n"/>
      <c r="AJ120" s="6" t="n"/>
      <c r="AK120" s="65" t="n"/>
      <c r="AL120" s="6" t="n"/>
      <c r="AM120" s="65" t="n"/>
      <c r="AN120" s="5" t="n"/>
      <c r="AO120" s="6" t="n"/>
      <c r="AP120" s="65" t="n"/>
      <c r="AQ120" s="6" t="n"/>
      <c r="AR120" s="64" t="n"/>
      <c r="AS120" s="5" t="n"/>
      <c r="AT120" s="6" t="n"/>
      <c r="AU120" s="65" t="n"/>
      <c r="AV120" s="6" t="n"/>
      <c r="AW120" s="65" t="n"/>
      <c r="AX120" s="6" t="n"/>
      <c r="AY120" s="65" t="n"/>
      <c r="AZ120" s="6" t="n"/>
      <c r="BA120" s="65" t="n"/>
      <c r="BB120" s="5" t="n"/>
      <c r="BC120" s="6" t="n"/>
      <c r="BD120" s="65" t="n"/>
      <c r="BE120" s="6" t="n"/>
      <c r="BF120" s="64" t="n"/>
      <c r="BG120" s="5" t="n"/>
      <c r="BH120" s="6" t="n"/>
      <c r="BI120" s="66" t="n"/>
      <c r="BJ120" s="5" t="n"/>
      <c r="BK120" s="40" t="n"/>
    </row>
    <row r="121" ht="20" customHeight="1">
      <c r="A121" s="59" t="n"/>
      <c r="B121" s="6" t="n"/>
      <c r="C121" s="60" t="n"/>
      <c r="D121" s="5" t="n"/>
      <c r="E121" s="5" t="n"/>
      <c r="F121" s="6" t="n"/>
      <c r="G121" s="60" t="n"/>
      <c r="H121" s="5" t="n"/>
      <c r="I121" s="6" t="n"/>
      <c r="J121" s="60" t="n"/>
      <c r="K121" s="5" t="n"/>
      <c r="L121" s="6" t="n"/>
      <c r="M121" s="60" t="n"/>
      <c r="N121" s="5" t="n"/>
      <c r="O121" s="5" t="n"/>
      <c r="P121" s="5" t="n"/>
      <c r="Q121" s="6" t="n"/>
      <c r="R121" s="60" t="n"/>
      <c r="S121" s="5" t="n"/>
      <c r="T121" s="5" t="n"/>
      <c r="U121" s="5" t="n"/>
      <c r="V121" s="5" t="n"/>
      <c r="W121" s="5" t="n"/>
      <c r="X121" s="6" t="n"/>
      <c r="Y121" s="60" t="n"/>
      <c r="Z121" s="5" t="n"/>
      <c r="AA121" s="5" t="n"/>
      <c r="AB121" s="5" t="n"/>
      <c r="AC121" s="5" t="n"/>
      <c r="AD121" s="6" t="n"/>
      <c r="AE121" s="61" t="n"/>
      <c r="AF121" s="6" t="n"/>
      <c r="AG121" s="61" t="n"/>
      <c r="AH121" s="6" t="n"/>
      <c r="AI121" s="61" t="n"/>
      <c r="AJ121" s="6" t="n"/>
      <c r="AK121" s="61" t="n"/>
      <c r="AL121" s="6" t="n"/>
      <c r="AM121" s="61" t="n"/>
      <c r="AN121" s="5" t="n"/>
      <c r="AO121" s="6" t="n"/>
      <c r="AP121" s="61" t="n"/>
      <c r="AQ121" s="6" t="n"/>
      <c r="AR121" s="60" t="n"/>
      <c r="AS121" s="5" t="n"/>
      <c r="AT121" s="6" t="n"/>
      <c r="AU121" s="61" t="n"/>
      <c r="AV121" s="6" t="n"/>
      <c r="AW121" s="61" t="n"/>
      <c r="AX121" s="6" t="n"/>
      <c r="AY121" s="61" t="n"/>
      <c r="AZ121" s="6" t="n"/>
      <c r="BA121" s="61" t="n"/>
      <c r="BB121" s="5" t="n"/>
      <c r="BC121" s="6" t="n"/>
      <c r="BD121" s="61" t="n"/>
      <c r="BE121" s="6" t="n"/>
      <c r="BF121" s="60" t="n"/>
      <c r="BG121" s="5" t="n"/>
      <c r="BH121" s="6" t="n"/>
      <c r="BI121" s="62" t="n"/>
      <c r="BJ121" s="5" t="n"/>
      <c r="BK121" s="40" t="n"/>
    </row>
    <row r="122" ht="20" customHeight="1">
      <c r="A122" s="63" t="n"/>
      <c r="B122" s="6" t="n"/>
      <c r="C122" s="64" t="n"/>
      <c r="D122" s="5" t="n"/>
      <c r="E122" s="5" t="n"/>
      <c r="F122" s="6" t="n"/>
      <c r="G122" s="64" t="n"/>
      <c r="H122" s="5" t="n"/>
      <c r="I122" s="6" t="n"/>
      <c r="J122" s="64" t="n"/>
      <c r="K122" s="5" t="n"/>
      <c r="L122" s="6" t="n"/>
      <c r="M122" s="64" t="n"/>
      <c r="N122" s="5" t="n"/>
      <c r="O122" s="5" t="n"/>
      <c r="P122" s="5" t="n"/>
      <c r="Q122" s="6" t="n"/>
      <c r="R122" s="64" t="n"/>
      <c r="S122" s="5" t="n"/>
      <c r="T122" s="5" t="n"/>
      <c r="U122" s="5" t="n"/>
      <c r="V122" s="5" t="n"/>
      <c r="W122" s="5" t="n"/>
      <c r="X122" s="6" t="n"/>
      <c r="Y122" s="64" t="n"/>
      <c r="Z122" s="5" t="n"/>
      <c r="AA122" s="5" t="n"/>
      <c r="AB122" s="5" t="n"/>
      <c r="AC122" s="5" t="n"/>
      <c r="AD122" s="6" t="n"/>
      <c r="AE122" s="65" t="n"/>
      <c r="AF122" s="6" t="n"/>
      <c r="AG122" s="65" t="n"/>
      <c r="AH122" s="6" t="n"/>
      <c r="AI122" s="65" t="n"/>
      <c r="AJ122" s="6" t="n"/>
      <c r="AK122" s="65" t="n"/>
      <c r="AL122" s="6" t="n"/>
      <c r="AM122" s="65" t="n"/>
      <c r="AN122" s="5" t="n"/>
      <c r="AO122" s="6" t="n"/>
      <c r="AP122" s="65" t="n"/>
      <c r="AQ122" s="6" t="n"/>
      <c r="AR122" s="64" t="n"/>
      <c r="AS122" s="5" t="n"/>
      <c r="AT122" s="6" t="n"/>
      <c r="AU122" s="65" t="n"/>
      <c r="AV122" s="6" t="n"/>
      <c r="AW122" s="65" t="n"/>
      <c r="AX122" s="6" t="n"/>
      <c r="AY122" s="65" t="n"/>
      <c r="AZ122" s="6" t="n"/>
      <c r="BA122" s="65" t="n"/>
      <c r="BB122" s="5" t="n"/>
      <c r="BC122" s="6" t="n"/>
      <c r="BD122" s="65" t="n"/>
      <c r="BE122" s="6" t="n"/>
      <c r="BF122" s="64" t="n"/>
      <c r="BG122" s="5" t="n"/>
      <c r="BH122" s="6" t="n"/>
      <c r="BI122" s="66" t="n"/>
      <c r="BJ122" s="5" t="n"/>
      <c r="BK122" s="40" t="n"/>
    </row>
    <row r="123" ht="20" customHeight="1">
      <c r="A123" s="59" t="n"/>
      <c r="B123" s="6" t="n"/>
      <c r="C123" s="60" t="n"/>
      <c r="D123" s="5" t="n"/>
      <c r="E123" s="5" t="n"/>
      <c r="F123" s="6" t="n"/>
      <c r="G123" s="60" t="n"/>
      <c r="H123" s="5" t="n"/>
      <c r="I123" s="6" t="n"/>
      <c r="J123" s="60" t="n"/>
      <c r="K123" s="5" t="n"/>
      <c r="L123" s="6" t="n"/>
      <c r="M123" s="60" t="n"/>
      <c r="N123" s="5" t="n"/>
      <c r="O123" s="5" t="n"/>
      <c r="P123" s="5" t="n"/>
      <c r="Q123" s="6" t="n"/>
      <c r="R123" s="60" t="n"/>
      <c r="S123" s="5" t="n"/>
      <c r="T123" s="5" t="n"/>
      <c r="U123" s="5" t="n"/>
      <c r="V123" s="5" t="n"/>
      <c r="W123" s="5" t="n"/>
      <c r="X123" s="6" t="n"/>
      <c r="Y123" s="60" t="n"/>
      <c r="Z123" s="5" t="n"/>
      <c r="AA123" s="5" t="n"/>
      <c r="AB123" s="5" t="n"/>
      <c r="AC123" s="5" t="n"/>
      <c r="AD123" s="6" t="n"/>
      <c r="AE123" s="61" t="n"/>
      <c r="AF123" s="6" t="n"/>
      <c r="AG123" s="61" t="n"/>
      <c r="AH123" s="6" t="n"/>
      <c r="AI123" s="61" t="n"/>
      <c r="AJ123" s="6" t="n"/>
      <c r="AK123" s="61" t="n"/>
      <c r="AL123" s="6" t="n"/>
      <c r="AM123" s="61" t="n"/>
      <c r="AN123" s="5" t="n"/>
      <c r="AO123" s="6" t="n"/>
      <c r="AP123" s="61" t="n"/>
      <c r="AQ123" s="6" t="n"/>
      <c r="AR123" s="60" t="n"/>
      <c r="AS123" s="5" t="n"/>
      <c r="AT123" s="6" t="n"/>
      <c r="AU123" s="61" t="n"/>
      <c r="AV123" s="6" t="n"/>
      <c r="AW123" s="61" t="n"/>
      <c r="AX123" s="6" t="n"/>
      <c r="AY123" s="61" t="n"/>
      <c r="AZ123" s="6" t="n"/>
      <c r="BA123" s="61" t="n"/>
      <c r="BB123" s="5" t="n"/>
      <c r="BC123" s="6" t="n"/>
      <c r="BD123" s="61" t="n"/>
      <c r="BE123" s="6" t="n"/>
      <c r="BF123" s="60" t="n"/>
      <c r="BG123" s="5" t="n"/>
      <c r="BH123" s="6" t="n"/>
      <c r="BI123" s="62" t="n"/>
      <c r="BJ123" s="5" t="n"/>
      <c r="BK123" s="40" t="n"/>
    </row>
    <row r="124" ht="20" customHeight="1">
      <c r="A124" s="63" t="n"/>
      <c r="B124" s="6" t="n"/>
      <c r="C124" s="64" t="n"/>
      <c r="D124" s="5" t="n"/>
      <c r="E124" s="5" t="n"/>
      <c r="F124" s="6" t="n"/>
      <c r="G124" s="64" t="n"/>
      <c r="H124" s="5" t="n"/>
      <c r="I124" s="6" t="n"/>
      <c r="J124" s="64" t="n"/>
      <c r="K124" s="5" t="n"/>
      <c r="L124" s="6" t="n"/>
      <c r="M124" s="64" t="n"/>
      <c r="N124" s="5" t="n"/>
      <c r="O124" s="5" t="n"/>
      <c r="P124" s="5" t="n"/>
      <c r="Q124" s="6" t="n"/>
      <c r="R124" s="64" t="n"/>
      <c r="S124" s="5" t="n"/>
      <c r="T124" s="5" t="n"/>
      <c r="U124" s="5" t="n"/>
      <c r="V124" s="5" t="n"/>
      <c r="W124" s="5" t="n"/>
      <c r="X124" s="6" t="n"/>
      <c r="Y124" s="64" t="n"/>
      <c r="Z124" s="5" t="n"/>
      <c r="AA124" s="5" t="n"/>
      <c r="AB124" s="5" t="n"/>
      <c r="AC124" s="5" t="n"/>
      <c r="AD124" s="6" t="n"/>
      <c r="AE124" s="65" t="n"/>
      <c r="AF124" s="6" t="n"/>
      <c r="AG124" s="65" t="n"/>
      <c r="AH124" s="6" t="n"/>
      <c r="AI124" s="65" t="n"/>
      <c r="AJ124" s="6" t="n"/>
      <c r="AK124" s="65" t="n"/>
      <c r="AL124" s="6" t="n"/>
      <c r="AM124" s="65" t="n"/>
      <c r="AN124" s="5" t="n"/>
      <c r="AO124" s="6" t="n"/>
      <c r="AP124" s="65" t="n"/>
      <c r="AQ124" s="6" t="n"/>
      <c r="AR124" s="64" t="n"/>
      <c r="AS124" s="5" t="n"/>
      <c r="AT124" s="6" t="n"/>
      <c r="AU124" s="65" t="n"/>
      <c r="AV124" s="6" t="n"/>
      <c r="AW124" s="65" t="n"/>
      <c r="AX124" s="6" t="n"/>
      <c r="AY124" s="65" t="n"/>
      <c r="AZ124" s="6" t="n"/>
      <c r="BA124" s="65" t="n"/>
      <c r="BB124" s="5" t="n"/>
      <c r="BC124" s="6" t="n"/>
      <c r="BD124" s="65" t="n"/>
      <c r="BE124" s="6" t="n"/>
      <c r="BF124" s="64" t="n"/>
      <c r="BG124" s="5" t="n"/>
      <c r="BH124" s="6" t="n"/>
      <c r="BI124" s="66" t="n"/>
      <c r="BJ124" s="5" t="n"/>
      <c r="BK124" s="40" t="n"/>
    </row>
    <row r="125" ht="20" customHeight="1">
      <c r="A125" s="59" t="n"/>
      <c r="B125" s="6" t="n"/>
      <c r="C125" s="60" t="n"/>
      <c r="D125" s="5" t="n"/>
      <c r="E125" s="5" t="n"/>
      <c r="F125" s="6" t="n"/>
      <c r="G125" s="60" t="n"/>
      <c r="H125" s="5" t="n"/>
      <c r="I125" s="6" t="n"/>
      <c r="J125" s="60" t="n"/>
      <c r="K125" s="5" t="n"/>
      <c r="L125" s="6" t="n"/>
      <c r="M125" s="60" t="n"/>
      <c r="N125" s="5" t="n"/>
      <c r="O125" s="5" t="n"/>
      <c r="P125" s="5" t="n"/>
      <c r="Q125" s="6" t="n"/>
      <c r="R125" s="60" t="n"/>
      <c r="S125" s="5" t="n"/>
      <c r="T125" s="5" t="n"/>
      <c r="U125" s="5" t="n"/>
      <c r="V125" s="5" t="n"/>
      <c r="W125" s="5" t="n"/>
      <c r="X125" s="6" t="n"/>
      <c r="Y125" s="60" t="n"/>
      <c r="Z125" s="5" t="n"/>
      <c r="AA125" s="5" t="n"/>
      <c r="AB125" s="5" t="n"/>
      <c r="AC125" s="5" t="n"/>
      <c r="AD125" s="6" t="n"/>
      <c r="AE125" s="61" t="n"/>
      <c r="AF125" s="6" t="n"/>
      <c r="AG125" s="61" t="n"/>
      <c r="AH125" s="6" t="n"/>
      <c r="AI125" s="61" t="n"/>
      <c r="AJ125" s="6" t="n"/>
      <c r="AK125" s="61" t="n"/>
      <c r="AL125" s="6" t="n"/>
      <c r="AM125" s="61" t="n"/>
      <c r="AN125" s="5" t="n"/>
      <c r="AO125" s="6" t="n"/>
      <c r="AP125" s="61" t="n"/>
      <c r="AQ125" s="6" t="n"/>
      <c r="AR125" s="60" t="n"/>
      <c r="AS125" s="5" t="n"/>
      <c r="AT125" s="6" t="n"/>
      <c r="AU125" s="61" t="n"/>
      <c r="AV125" s="6" t="n"/>
      <c r="AW125" s="61" t="n"/>
      <c r="AX125" s="6" t="n"/>
      <c r="AY125" s="61" t="n"/>
      <c r="AZ125" s="6" t="n"/>
      <c r="BA125" s="61" t="n"/>
      <c r="BB125" s="5" t="n"/>
      <c r="BC125" s="6" t="n"/>
      <c r="BD125" s="61" t="n"/>
      <c r="BE125" s="6" t="n"/>
      <c r="BF125" s="60" t="n"/>
      <c r="BG125" s="5" t="n"/>
      <c r="BH125" s="6" t="n"/>
      <c r="BI125" s="62" t="n"/>
      <c r="BJ125" s="5" t="n"/>
      <c r="BK125" s="40" t="n"/>
    </row>
    <row r="126" ht="20" customHeight="1">
      <c r="A126" s="63" t="n"/>
      <c r="B126" s="6" t="n"/>
      <c r="C126" s="64" t="n"/>
      <c r="D126" s="5" t="n"/>
      <c r="E126" s="5" t="n"/>
      <c r="F126" s="6" t="n"/>
      <c r="G126" s="64" t="n"/>
      <c r="H126" s="5" t="n"/>
      <c r="I126" s="6" t="n"/>
      <c r="J126" s="64" t="n"/>
      <c r="K126" s="5" t="n"/>
      <c r="L126" s="6" t="n"/>
      <c r="M126" s="64" t="n"/>
      <c r="N126" s="5" t="n"/>
      <c r="O126" s="5" t="n"/>
      <c r="P126" s="5" t="n"/>
      <c r="Q126" s="6" t="n"/>
      <c r="R126" s="64" t="n"/>
      <c r="S126" s="5" t="n"/>
      <c r="T126" s="5" t="n"/>
      <c r="U126" s="5" t="n"/>
      <c r="V126" s="5" t="n"/>
      <c r="W126" s="5" t="n"/>
      <c r="X126" s="6" t="n"/>
      <c r="Y126" s="64" t="n"/>
      <c r="Z126" s="5" t="n"/>
      <c r="AA126" s="5" t="n"/>
      <c r="AB126" s="5" t="n"/>
      <c r="AC126" s="5" t="n"/>
      <c r="AD126" s="6" t="n"/>
      <c r="AE126" s="65" t="n"/>
      <c r="AF126" s="6" t="n"/>
      <c r="AG126" s="65" t="n"/>
      <c r="AH126" s="6" t="n"/>
      <c r="AI126" s="65" t="n"/>
      <c r="AJ126" s="6" t="n"/>
      <c r="AK126" s="65" t="n"/>
      <c r="AL126" s="6" t="n"/>
      <c r="AM126" s="65" t="n"/>
      <c r="AN126" s="5" t="n"/>
      <c r="AO126" s="6" t="n"/>
      <c r="AP126" s="65" t="n"/>
      <c r="AQ126" s="6" t="n"/>
      <c r="AR126" s="64" t="n"/>
      <c r="AS126" s="5" t="n"/>
      <c r="AT126" s="6" t="n"/>
      <c r="AU126" s="65" t="n"/>
      <c r="AV126" s="6" t="n"/>
      <c r="AW126" s="65" t="n"/>
      <c r="AX126" s="6" t="n"/>
      <c r="AY126" s="65" t="n"/>
      <c r="AZ126" s="6" t="n"/>
      <c r="BA126" s="65" t="n"/>
      <c r="BB126" s="5" t="n"/>
      <c r="BC126" s="6" t="n"/>
      <c r="BD126" s="65" t="n"/>
      <c r="BE126" s="6" t="n"/>
      <c r="BF126" s="64" t="n"/>
      <c r="BG126" s="5" t="n"/>
      <c r="BH126" s="6" t="n"/>
      <c r="BI126" s="66" t="n"/>
      <c r="BJ126" s="5" t="n"/>
      <c r="BK126" s="40" t="n"/>
    </row>
    <row r="127" ht="20" customHeight="1">
      <c r="A127" s="59" t="n"/>
      <c r="B127" s="6" t="n"/>
      <c r="C127" s="60" t="n"/>
      <c r="D127" s="5" t="n"/>
      <c r="E127" s="5" t="n"/>
      <c r="F127" s="6" t="n"/>
      <c r="G127" s="60" t="n"/>
      <c r="H127" s="5" t="n"/>
      <c r="I127" s="6" t="n"/>
      <c r="J127" s="60" t="n"/>
      <c r="K127" s="5" t="n"/>
      <c r="L127" s="6" t="n"/>
      <c r="M127" s="60" t="n"/>
      <c r="N127" s="5" t="n"/>
      <c r="O127" s="5" t="n"/>
      <c r="P127" s="5" t="n"/>
      <c r="Q127" s="6" t="n"/>
      <c r="R127" s="60" t="n"/>
      <c r="S127" s="5" t="n"/>
      <c r="T127" s="5" t="n"/>
      <c r="U127" s="5" t="n"/>
      <c r="V127" s="5" t="n"/>
      <c r="W127" s="5" t="n"/>
      <c r="X127" s="6" t="n"/>
      <c r="Y127" s="60" t="n"/>
      <c r="Z127" s="5" t="n"/>
      <c r="AA127" s="5" t="n"/>
      <c r="AB127" s="5" t="n"/>
      <c r="AC127" s="5" t="n"/>
      <c r="AD127" s="6" t="n"/>
      <c r="AE127" s="61" t="n"/>
      <c r="AF127" s="6" t="n"/>
      <c r="AG127" s="61" t="n"/>
      <c r="AH127" s="6" t="n"/>
      <c r="AI127" s="61" t="n"/>
      <c r="AJ127" s="6" t="n"/>
      <c r="AK127" s="61" t="n"/>
      <c r="AL127" s="6" t="n"/>
      <c r="AM127" s="61" t="n"/>
      <c r="AN127" s="5" t="n"/>
      <c r="AO127" s="6" t="n"/>
      <c r="AP127" s="61" t="n"/>
      <c r="AQ127" s="6" t="n"/>
      <c r="AR127" s="60" t="n"/>
      <c r="AS127" s="5" t="n"/>
      <c r="AT127" s="6" t="n"/>
      <c r="AU127" s="61" t="n"/>
      <c r="AV127" s="6" t="n"/>
      <c r="AW127" s="61" t="n"/>
      <c r="AX127" s="6" t="n"/>
      <c r="AY127" s="61" t="n"/>
      <c r="AZ127" s="6" t="n"/>
      <c r="BA127" s="61" t="n"/>
      <c r="BB127" s="5" t="n"/>
      <c r="BC127" s="6" t="n"/>
      <c r="BD127" s="61" t="n"/>
      <c r="BE127" s="6" t="n"/>
      <c r="BF127" s="60" t="n"/>
      <c r="BG127" s="5" t="n"/>
      <c r="BH127" s="6" t="n"/>
      <c r="BI127" s="62" t="n"/>
      <c r="BJ127" s="5" t="n"/>
      <c r="BK127" s="40" t="n"/>
    </row>
    <row r="128" ht="20" customHeight="1">
      <c r="A128" s="63" t="n"/>
      <c r="B128" s="6" t="n"/>
      <c r="C128" s="64" t="n"/>
      <c r="D128" s="5" t="n"/>
      <c r="E128" s="5" t="n"/>
      <c r="F128" s="6" t="n"/>
      <c r="G128" s="64" t="n"/>
      <c r="H128" s="5" t="n"/>
      <c r="I128" s="6" t="n"/>
      <c r="J128" s="64" t="n"/>
      <c r="K128" s="5" t="n"/>
      <c r="L128" s="6" t="n"/>
      <c r="M128" s="64" t="n"/>
      <c r="N128" s="5" t="n"/>
      <c r="O128" s="5" t="n"/>
      <c r="P128" s="5" t="n"/>
      <c r="Q128" s="6" t="n"/>
      <c r="R128" s="64" t="n"/>
      <c r="S128" s="5" t="n"/>
      <c r="T128" s="5" t="n"/>
      <c r="U128" s="5" t="n"/>
      <c r="V128" s="5" t="n"/>
      <c r="W128" s="5" t="n"/>
      <c r="X128" s="6" t="n"/>
      <c r="Y128" s="64" t="n"/>
      <c r="Z128" s="5" t="n"/>
      <c r="AA128" s="5" t="n"/>
      <c r="AB128" s="5" t="n"/>
      <c r="AC128" s="5" t="n"/>
      <c r="AD128" s="6" t="n"/>
      <c r="AE128" s="65" t="n"/>
      <c r="AF128" s="6" t="n"/>
      <c r="AG128" s="65" t="n"/>
      <c r="AH128" s="6" t="n"/>
      <c r="AI128" s="65" t="n"/>
      <c r="AJ128" s="6" t="n"/>
      <c r="AK128" s="65" t="n"/>
      <c r="AL128" s="6" t="n"/>
      <c r="AM128" s="65" t="n"/>
      <c r="AN128" s="5" t="n"/>
      <c r="AO128" s="6" t="n"/>
      <c r="AP128" s="65" t="n"/>
      <c r="AQ128" s="6" t="n"/>
      <c r="AR128" s="64" t="n"/>
      <c r="AS128" s="5" t="n"/>
      <c r="AT128" s="6" t="n"/>
      <c r="AU128" s="65" t="n"/>
      <c r="AV128" s="6" t="n"/>
      <c r="AW128" s="65" t="n"/>
      <c r="AX128" s="6" t="n"/>
      <c r="AY128" s="65" t="n"/>
      <c r="AZ128" s="6" t="n"/>
      <c r="BA128" s="65" t="n"/>
      <c r="BB128" s="5" t="n"/>
      <c r="BC128" s="6" t="n"/>
      <c r="BD128" s="65" t="n"/>
      <c r="BE128" s="6" t="n"/>
      <c r="BF128" s="64" t="n"/>
      <c r="BG128" s="5" t="n"/>
      <c r="BH128" s="6" t="n"/>
      <c r="BI128" s="66" t="n"/>
      <c r="BJ128" s="5" t="n"/>
      <c r="BK128" s="40" t="n"/>
    </row>
    <row r="129" ht="20" customHeight="1">
      <c r="A129" s="59" t="n"/>
      <c r="B129" s="6" t="n"/>
      <c r="C129" s="60" t="n"/>
      <c r="D129" s="5" t="n"/>
      <c r="E129" s="5" t="n"/>
      <c r="F129" s="6" t="n"/>
      <c r="G129" s="60" t="n"/>
      <c r="H129" s="5" t="n"/>
      <c r="I129" s="6" t="n"/>
      <c r="J129" s="60" t="n"/>
      <c r="K129" s="5" t="n"/>
      <c r="L129" s="6" t="n"/>
      <c r="M129" s="60" t="n"/>
      <c r="N129" s="5" t="n"/>
      <c r="O129" s="5" t="n"/>
      <c r="P129" s="5" t="n"/>
      <c r="Q129" s="6" t="n"/>
      <c r="R129" s="60" t="n"/>
      <c r="S129" s="5" t="n"/>
      <c r="T129" s="5" t="n"/>
      <c r="U129" s="5" t="n"/>
      <c r="V129" s="5" t="n"/>
      <c r="W129" s="5" t="n"/>
      <c r="X129" s="6" t="n"/>
      <c r="Y129" s="60" t="n"/>
      <c r="Z129" s="5" t="n"/>
      <c r="AA129" s="5" t="n"/>
      <c r="AB129" s="5" t="n"/>
      <c r="AC129" s="5" t="n"/>
      <c r="AD129" s="6" t="n"/>
      <c r="AE129" s="61" t="n"/>
      <c r="AF129" s="6" t="n"/>
      <c r="AG129" s="61" t="n"/>
      <c r="AH129" s="6" t="n"/>
      <c r="AI129" s="61" t="n"/>
      <c r="AJ129" s="6" t="n"/>
      <c r="AK129" s="61" t="n"/>
      <c r="AL129" s="6" t="n"/>
      <c r="AM129" s="61" t="n"/>
      <c r="AN129" s="5" t="n"/>
      <c r="AO129" s="6" t="n"/>
      <c r="AP129" s="61" t="n"/>
      <c r="AQ129" s="6" t="n"/>
      <c r="AR129" s="60" t="n"/>
      <c r="AS129" s="5" t="n"/>
      <c r="AT129" s="6" t="n"/>
      <c r="AU129" s="61" t="n"/>
      <c r="AV129" s="6" t="n"/>
      <c r="AW129" s="61" t="n"/>
      <c r="AX129" s="6" t="n"/>
      <c r="AY129" s="61" t="n"/>
      <c r="AZ129" s="6" t="n"/>
      <c r="BA129" s="61" t="n"/>
      <c r="BB129" s="5" t="n"/>
      <c r="BC129" s="6" t="n"/>
      <c r="BD129" s="61" t="n"/>
      <c r="BE129" s="6" t="n"/>
      <c r="BF129" s="60" t="n"/>
      <c r="BG129" s="5" t="n"/>
      <c r="BH129" s="6" t="n"/>
      <c r="BI129" s="62" t="n"/>
      <c r="BJ129" s="5" t="n"/>
      <c r="BK129" s="40" t="n"/>
    </row>
    <row r="130" ht="20" customHeight="1">
      <c r="A130" s="63" t="n"/>
      <c r="B130" s="6" t="n"/>
      <c r="C130" s="64" t="n"/>
      <c r="D130" s="5" t="n"/>
      <c r="E130" s="5" t="n"/>
      <c r="F130" s="6" t="n"/>
      <c r="G130" s="64" t="n"/>
      <c r="H130" s="5" t="n"/>
      <c r="I130" s="6" t="n"/>
      <c r="J130" s="64" t="n"/>
      <c r="K130" s="5" t="n"/>
      <c r="L130" s="6" t="n"/>
      <c r="M130" s="64" t="n"/>
      <c r="N130" s="5" t="n"/>
      <c r="O130" s="5" t="n"/>
      <c r="P130" s="5" t="n"/>
      <c r="Q130" s="6" t="n"/>
      <c r="R130" s="64" t="n"/>
      <c r="S130" s="5" t="n"/>
      <c r="T130" s="5" t="n"/>
      <c r="U130" s="5" t="n"/>
      <c r="V130" s="5" t="n"/>
      <c r="W130" s="5" t="n"/>
      <c r="X130" s="6" t="n"/>
      <c r="Y130" s="64" t="n"/>
      <c r="Z130" s="5" t="n"/>
      <c r="AA130" s="5" t="n"/>
      <c r="AB130" s="5" t="n"/>
      <c r="AC130" s="5" t="n"/>
      <c r="AD130" s="6" t="n"/>
      <c r="AE130" s="65" t="n"/>
      <c r="AF130" s="6" t="n"/>
      <c r="AG130" s="65" t="n"/>
      <c r="AH130" s="6" t="n"/>
      <c r="AI130" s="65" t="n"/>
      <c r="AJ130" s="6" t="n"/>
      <c r="AK130" s="65" t="n"/>
      <c r="AL130" s="6" t="n"/>
      <c r="AM130" s="65" t="n"/>
      <c r="AN130" s="5" t="n"/>
      <c r="AO130" s="6" t="n"/>
      <c r="AP130" s="65" t="n"/>
      <c r="AQ130" s="6" t="n"/>
      <c r="AR130" s="64" t="n"/>
      <c r="AS130" s="5" t="n"/>
      <c r="AT130" s="6" t="n"/>
      <c r="AU130" s="65" t="n"/>
      <c r="AV130" s="6" t="n"/>
      <c r="AW130" s="65" t="n"/>
      <c r="AX130" s="6" t="n"/>
      <c r="AY130" s="65" t="n"/>
      <c r="AZ130" s="6" t="n"/>
      <c r="BA130" s="65" t="n"/>
      <c r="BB130" s="5" t="n"/>
      <c r="BC130" s="6" t="n"/>
      <c r="BD130" s="65" t="n"/>
      <c r="BE130" s="6" t="n"/>
      <c r="BF130" s="64" t="n"/>
      <c r="BG130" s="5" t="n"/>
      <c r="BH130" s="6" t="n"/>
      <c r="BI130" s="66" t="n"/>
      <c r="BJ130" s="5" t="n"/>
      <c r="BK130" s="40" t="n"/>
    </row>
    <row r="131" ht="20" customHeight="1">
      <c r="A131" s="59" t="n"/>
      <c r="B131" s="6" t="n"/>
      <c r="C131" s="60" t="n"/>
      <c r="D131" s="5" t="n"/>
      <c r="E131" s="5" t="n"/>
      <c r="F131" s="6" t="n"/>
      <c r="G131" s="60" t="n"/>
      <c r="H131" s="5" t="n"/>
      <c r="I131" s="6" t="n"/>
      <c r="J131" s="60" t="n"/>
      <c r="K131" s="5" t="n"/>
      <c r="L131" s="6" t="n"/>
      <c r="M131" s="60" t="n"/>
      <c r="N131" s="5" t="n"/>
      <c r="O131" s="5" t="n"/>
      <c r="P131" s="5" t="n"/>
      <c r="Q131" s="6" t="n"/>
      <c r="R131" s="60" t="n"/>
      <c r="S131" s="5" t="n"/>
      <c r="T131" s="5" t="n"/>
      <c r="U131" s="5" t="n"/>
      <c r="V131" s="5" t="n"/>
      <c r="W131" s="5" t="n"/>
      <c r="X131" s="6" t="n"/>
      <c r="Y131" s="60" t="n"/>
      <c r="Z131" s="5" t="n"/>
      <c r="AA131" s="5" t="n"/>
      <c r="AB131" s="5" t="n"/>
      <c r="AC131" s="5" t="n"/>
      <c r="AD131" s="6" t="n"/>
      <c r="AE131" s="61" t="n"/>
      <c r="AF131" s="6" t="n"/>
      <c r="AG131" s="61" t="n"/>
      <c r="AH131" s="6" t="n"/>
      <c r="AI131" s="61" t="n"/>
      <c r="AJ131" s="6" t="n"/>
      <c r="AK131" s="61" t="n"/>
      <c r="AL131" s="6" t="n"/>
      <c r="AM131" s="61" t="n"/>
      <c r="AN131" s="5" t="n"/>
      <c r="AO131" s="6" t="n"/>
      <c r="AP131" s="61" t="n"/>
      <c r="AQ131" s="6" t="n"/>
      <c r="AR131" s="60" t="n"/>
      <c r="AS131" s="5" t="n"/>
      <c r="AT131" s="6" t="n"/>
      <c r="AU131" s="61" t="n"/>
      <c r="AV131" s="6" t="n"/>
      <c r="AW131" s="61" t="n"/>
      <c r="AX131" s="6" t="n"/>
      <c r="AY131" s="61" t="n"/>
      <c r="AZ131" s="6" t="n"/>
      <c r="BA131" s="61" t="n"/>
      <c r="BB131" s="5" t="n"/>
      <c r="BC131" s="6" t="n"/>
      <c r="BD131" s="61" t="n"/>
      <c r="BE131" s="6" t="n"/>
      <c r="BF131" s="60" t="n"/>
      <c r="BG131" s="5" t="n"/>
      <c r="BH131" s="6" t="n"/>
      <c r="BI131" s="62" t="n"/>
      <c r="BJ131" s="5" t="n"/>
      <c r="BK131" s="40" t="n"/>
    </row>
    <row r="132" ht="20" customHeight="1">
      <c r="A132" s="63" t="n"/>
      <c r="B132" s="6" t="n"/>
      <c r="C132" s="64" t="n"/>
      <c r="D132" s="5" t="n"/>
      <c r="E132" s="5" t="n"/>
      <c r="F132" s="6" t="n"/>
      <c r="G132" s="64" t="n"/>
      <c r="H132" s="5" t="n"/>
      <c r="I132" s="6" t="n"/>
      <c r="J132" s="64" t="n"/>
      <c r="K132" s="5" t="n"/>
      <c r="L132" s="6" t="n"/>
      <c r="M132" s="64" t="n"/>
      <c r="N132" s="5" t="n"/>
      <c r="O132" s="5" t="n"/>
      <c r="P132" s="5" t="n"/>
      <c r="Q132" s="6" t="n"/>
      <c r="R132" s="64" t="n"/>
      <c r="S132" s="5" t="n"/>
      <c r="T132" s="5" t="n"/>
      <c r="U132" s="5" t="n"/>
      <c r="V132" s="5" t="n"/>
      <c r="W132" s="5" t="n"/>
      <c r="X132" s="6" t="n"/>
      <c r="Y132" s="64" t="n"/>
      <c r="Z132" s="5" t="n"/>
      <c r="AA132" s="5" t="n"/>
      <c r="AB132" s="5" t="n"/>
      <c r="AC132" s="5" t="n"/>
      <c r="AD132" s="6" t="n"/>
      <c r="AE132" s="65" t="n"/>
      <c r="AF132" s="6" t="n"/>
      <c r="AG132" s="65" t="n"/>
      <c r="AH132" s="6" t="n"/>
      <c r="AI132" s="65" t="n"/>
      <c r="AJ132" s="6" t="n"/>
      <c r="AK132" s="65" t="n"/>
      <c r="AL132" s="6" t="n"/>
      <c r="AM132" s="65" t="n"/>
      <c r="AN132" s="5" t="n"/>
      <c r="AO132" s="6" t="n"/>
      <c r="AP132" s="65" t="n"/>
      <c r="AQ132" s="6" t="n"/>
      <c r="AR132" s="64" t="n"/>
      <c r="AS132" s="5" t="n"/>
      <c r="AT132" s="6" t="n"/>
      <c r="AU132" s="65" t="n"/>
      <c r="AV132" s="6" t="n"/>
      <c r="AW132" s="65" t="n"/>
      <c r="AX132" s="6" t="n"/>
      <c r="AY132" s="65" t="n"/>
      <c r="AZ132" s="6" t="n"/>
      <c r="BA132" s="65" t="n"/>
      <c r="BB132" s="5" t="n"/>
      <c r="BC132" s="6" t="n"/>
      <c r="BD132" s="65" t="n"/>
      <c r="BE132" s="6" t="n"/>
      <c r="BF132" s="64" t="n"/>
      <c r="BG132" s="5" t="n"/>
      <c r="BH132" s="6" t="n"/>
      <c r="BI132" s="66" t="n"/>
      <c r="BJ132" s="5" t="n"/>
      <c r="BK132" s="40" t="n"/>
    </row>
    <row r="133" ht="20" customHeight="1">
      <c r="A133" s="59" t="n"/>
      <c r="B133" s="6" t="n"/>
      <c r="C133" s="60" t="n"/>
      <c r="D133" s="5" t="n"/>
      <c r="E133" s="5" t="n"/>
      <c r="F133" s="6" t="n"/>
      <c r="G133" s="60" t="n"/>
      <c r="H133" s="5" t="n"/>
      <c r="I133" s="6" t="n"/>
      <c r="J133" s="60" t="n"/>
      <c r="K133" s="5" t="n"/>
      <c r="L133" s="6" t="n"/>
      <c r="M133" s="60" t="n"/>
      <c r="N133" s="5" t="n"/>
      <c r="O133" s="5" t="n"/>
      <c r="P133" s="5" t="n"/>
      <c r="Q133" s="6" t="n"/>
      <c r="R133" s="60" t="n"/>
      <c r="S133" s="5" t="n"/>
      <c r="T133" s="5" t="n"/>
      <c r="U133" s="5" t="n"/>
      <c r="V133" s="5" t="n"/>
      <c r="W133" s="5" t="n"/>
      <c r="X133" s="6" t="n"/>
      <c r="Y133" s="60" t="n"/>
      <c r="Z133" s="5" t="n"/>
      <c r="AA133" s="5" t="n"/>
      <c r="AB133" s="5" t="n"/>
      <c r="AC133" s="5" t="n"/>
      <c r="AD133" s="6" t="n"/>
      <c r="AE133" s="61" t="n"/>
      <c r="AF133" s="6" t="n"/>
      <c r="AG133" s="61" t="n"/>
      <c r="AH133" s="6" t="n"/>
      <c r="AI133" s="61" t="n"/>
      <c r="AJ133" s="6" t="n"/>
      <c r="AK133" s="61" t="n"/>
      <c r="AL133" s="6" t="n"/>
      <c r="AM133" s="61" t="n"/>
      <c r="AN133" s="5" t="n"/>
      <c r="AO133" s="6" t="n"/>
      <c r="AP133" s="61" t="n"/>
      <c r="AQ133" s="6" t="n"/>
      <c r="AR133" s="60" t="n"/>
      <c r="AS133" s="5" t="n"/>
      <c r="AT133" s="6" t="n"/>
      <c r="AU133" s="61" t="n"/>
      <c r="AV133" s="6" t="n"/>
      <c r="AW133" s="61" t="n"/>
      <c r="AX133" s="6" t="n"/>
      <c r="AY133" s="61" t="n"/>
      <c r="AZ133" s="6" t="n"/>
      <c r="BA133" s="61" t="n"/>
      <c r="BB133" s="5" t="n"/>
      <c r="BC133" s="6" t="n"/>
      <c r="BD133" s="61" t="n"/>
      <c r="BE133" s="6" t="n"/>
      <c r="BF133" s="60" t="n"/>
      <c r="BG133" s="5" t="n"/>
      <c r="BH133" s="6" t="n"/>
      <c r="BI133" s="62" t="n"/>
      <c r="BJ133" s="5" t="n"/>
      <c r="BK133" s="40" t="n"/>
    </row>
    <row r="134" ht="20" customHeight="1">
      <c r="A134" s="63" t="n"/>
      <c r="B134" s="6" t="n"/>
      <c r="C134" s="64" t="n"/>
      <c r="D134" s="5" t="n"/>
      <c r="E134" s="5" t="n"/>
      <c r="F134" s="6" t="n"/>
      <c r="G134" s="64" t="n"/>
      <c r="H134" s="5" t="n"/>
      <c r="I134" s="6" t="n"/>
      <c r="J134" s="64" t="n"/>
      <c r="K134" s="5" t="n"/>
      <c r="L134" s="6" t="n"/>
      <c r="M134" s="64" t="n"/>
      <c r="N134" s="5" t="n"/>
      <c r="O134" s="5" t="n"/>
      <c r="P134" s="5" t="n"/>
      <c r="Q134" s="6" t="n"/>
      <c r="R134" s="64" t="n"/>
      <c r="S134" s="5" t="n"/>
      <c r="T134" s="5" t="n"/>
      <c r="U134" s="5" t="n"/>
      <c r="V134" s="5" t="n"/>
      <c r="W134" s="5" t="n"/>
      <c r="X134" s="6" t="n"/>
      <c r="Y134" s="64" t="n"/>
      <c r="Z134" s="5" t="n"/>
      <c r="AA134" s="5" t="n"/>
      <c r="AB134" s="5" t="n"/>
      <c r="AC134" s="5" t="n"/>
      <c r="AD134" s="6" t="n"/>
      <c r="AE134" s="65" t="n"/>
      <c r="AF134" s="6" t="n"/>
      <c r="AG134" s="65" t="n"/>
      <c r="AH134" s="6" t="n"/>
      <c r="AI134" s="65" t="n"/>
      <c r="AJ134" s="6" t="n"/>
      <c r="AK134" s="65" t="n"/>
      <c r="AL134" s="6" t="n"/>
      <c r="AM134" s="65" t="n"/>
      <c r="AN134" s="5" t="n"/>
      <c r="AO134" s="6" t="n"/>
      <c r="AP134" s="65" t="n"/>
      <c r="AQ134" s="6" t="n"/>
      <c r="AR134" s="64" t="n"/>
      <c r="AS134" s="5" t="n"/>
      <c r="AT134" s="6" t="n"/>
      <c r="AU134" s="65" t="n"/>
      <c r="AV134" s="6" t="n"/>
      <c r="AW134" s="65" t="n"/>
      <c r="AX134" s="6" t="n"/>
      <c r="AY134" s="65" t="n"/>
      <c r="AZ134" s="6" t="n"/>
      <c r="BA134" s="65" t="n"/>
      <c r="BB134" s="5" t="n"/>
      <c r="BC134" s="6" t="n"/>
      <c r="BD134" s="65" t="n"/>
      <c r="BE134" s="6" t="n"/>
      <c r="BF134" s="64" t="n"/>
      <c r="BG134" s="5" t="n"/>
      <c r="BH134" s="6" t="n"/>
      <c r="BI134" s="66" t="n"/>
      <c r="BJ134" s="5" t="n"/>
      <c r="BK134" s="40" t="n"/>
    </row>
    <row r="135" ht="20" customHeight="1">
      <c r="A135" s="59" t="n"/>
      <c r="B135" s="6" t="n"/>
      <c r="C135" s="60" t="n"/>
      <c r="D135" s="5" t="n"/>
      <c r="E135" s="5" t="n"/>
      <c r="F135" s="6" t="n"/>
      <c r="G135" s="60" t="n"/>
      <c r="H135" s="5" t="n"/>
      <c r="I135" s="6" t="n"/>
      <c r="J135" s="60" t="n"/>
      <c r="K135" s="5" t="n"/>
      <c r="L135" s="6" t="n"/>
      <c r="M135" s="60" t="n"/>
      <c r="N135" s="5" t="n"/>
      <c r="O135" s="5" t="n"/>
      <c r="P135" s="5" t="n"/>
      <c r="Q135" s="6" t="n"/>
      <c r="R135" s="60" t="n"/>
      <c r="S135" s="5" t="n"/>
      <c r="T135" s="5" t="n"/>
      <c r="U135" s="5" t="n"/>
      <c r="V135" s="5" t="n"/>
      <c r="W135" s="5" t="n"/>
      <c r="X135" s="6" t="n"/>
      <c r="Y135" s="60" t="n"/>
      <c r="Z135" s="5" t="n"/>
      <c r="AA135" s="5" t="n"/>
      <c r="AB135" s="5" t="n"/>
      <c r="AC135" s="5" t="n"/>
      <c r="AD135" s="6" t="n"/>
      <c r="AE135" s="61" t="n"/>
      <c r="AF135" s="6" t="n"/>
      <c r="AG135" s="61" t="n"/>
      <c r="AH135" s="6" t="n"/>
      <c r="AI135" s="61" t="n"/>
      <c r="AJ135" s="6" t="n"/>
      <c r="AK135" s="61" t="n"/>
      <c r="AL135" s="6" t="n"/>
      <c r="AM135" s="61" t="n"/>
      <c r="AN135" s="5" t="n"/>
      <c r="AO135" s="6" t="n"/>
      <c r="AP135" s="61" t="n"/>
      <c r="AQ135" s="6" t="n"/>
      <c r="AR135" s="60" t="n"/>
      <c r="AS135" s="5" t="n"/>
      <c r="AT135" s="6" t="n"/>
      <c r="AU135" s="61" t="n"/>
      <c r="AV135" s="6" t="n"/>
      <c r="AW135" s="61" t="n"/>
      <c r="AX135" s="6" t="n"/>
      <c r="AY135" s="61" t="n"/>
      <c r="AZ135" s="6" t="n"/>
      <c r="BA135" s="61" t="n"/>
      <c r="BB135" s="5" t="n"/>
      <c r="BC135" s="6" t="n"/>
      <c r="BD135" s="61" t="n"/>
      <c r="BE135" s="6" t="n"/>
      <c r="BF135" s="60" t="n"/>
      <c r="BG135" s="5" t="n"/>
      <c r="BH135" s="6" t="n"/>
      <c r="BI135" s="62" t="n"/>
      <c r="BJ135" s="5" t="n"/>
      <c r="BK135" s="40" t="n"/>
    </row>
    <row r="136" ht="20" customHeight="1">
      <c r="A136" s="63" t="n"/>
      <c r="B136" s="6" t="n"/>
      <c r="C136" s="64" t="n"/>
      <c r="D136" s="5" t="n"/>
      <c r="E136" s="5" t="n"/>
      <c r="F136" s="6" t="n"/>
      <c r="G136" s="64" t="n"/>
      <c r="H136" s="5" t="n"/>
      <c r="I136" s="6" t="n"/>
      <c r="J136" s="64" t="n"/>
      <c r="K136" s="5" t="n"/>
      <c r="L136" s="6" t="n"/>
      <c r="M136" s="64" t="n"/>
      <c r="N136" s="5" t="n"/>
      <c r="O136" s="5" t="n"/>
      <c r="P136" s="5" t="n"/>
      <c r="Q136" s="6" t="n"/>
      <c r="R136" s="64" t="n"/>
      <c r="S136" s="5" t="n"/>
      <c r="T136" s="5" t="n"/>
      <c r="U136" s="5" t="n"/>
      <c r="V136" s="5" t="n"/>
      <c r="W136" s="5" t="n"/>
      <c r="X136" s="6" t="n"/>
      <c r="Y136" s="64" t="n"/>
      <c r="Z136" s="5" t="n"/>
      <c r="AA136" s="5" t="n"/>
      <c r="AB136" s="5" t="n"/>
      <c r="AC136" s="5" t="n"/>
      <c r="AD136" s="6" t="n"/>
      <c r="AE136" s="65" t="n"/>
      <c r="AF136" s="6" t="n"/>
      <c r="AG136" s="65" t="n"/>
      <c r="AH136" s="6" t="n"/>
      <c r="AI136" s="65" t="n"/>
      <c r="AJ136" s="6" t="n"/>
      <c r="AK136" s="65" t="n"/>
      <c r="AL136" s="6" t="n"/>
      <c r="AM136" s="65" t="n"/>
      <c r="AN136" s="5" t="n"/>
      <c r="AO136" s="6" t="n"/>
      <c r="AP136" s="65" t="n"/>
      <c r="AQ136" s="6" t="n"/>
      <c r="AR136" s="64" t="n"/>
      <c r="AS136" s="5" t="n"/>
      <c r="AT136" s="6" t="n"/>
      <c r="AU136" s="65" t="n"/>
      <c r="AV136" s="6" t="n"/>
      <c r="AW136" s="65" t="n"/>
      <c r="AX136" s="6" t="n"/>
      <c r="AY136" s="65" t="n"/>
      <c r="AZ136" s="6" t="n"/>
      <c r="BA136" s="65" t="n"/>
      <c r="BB136" s="5" t="n"/>
      <c r="BC136" s="6" t="n"/>
      <c r="BD136" s="65" t="n"/>
      <c r="BE136" s="6" t="n"/>
      <c r="BF136" s="64" t="n"/>
      <c r="BG136" s="5" t="n"/>
      <c r="BH136" s="6" t="n"/>
      <c r="BI136" s="66" t="n"/>
      <c r="BJ136" s="5" t="n"/>
      <c r="BK136" s="40" t="n"/>
    </row>
    <row r="137" ht="20" customHeight="1">
      <c r="A137" s="59" t="n"/>
      <c r="B137" s="6" t="n"/>
      <c r="C137" s="60" t="n"/>
      <c r="D137" s="5" t="n"/>
      <c r="E137" s="5" t="n"/>
      <c r="F137" s="6" t="n"/>
      <c r="G137" s="60" t="n"/>
      <c r="H137" s="5" t="n"/>
      <c r="I137" s="6" t="n"/>
      <c r="J137" s="60" t="n"/>
      <c r="K137" s="5" t="n"/>
      <c r="L137" s="6" t="n"/>
      <c r="M137" s="60" t="n"/>
      <c r="N137" s="5" t="n"/>
      <c r="O137" s="5" t="n"/>
      <c r="P137" s="5" t="n"/>
      <c r="Q137" s="6" t="n"/>
      <c r="R137" s="60" t="n"/>
      <c r="S137" s="5" t="n"/>
      <c r="T137" s="5" t="n"/>
      <c r="U137" s="5" t="n"/>
      <c r="V137" s="5" t="n"/>
      <c r="W137" s="5" t="n"/>
      <c r="X137" s="6" t="n"/>
      <c r="Y137" s="60" t="n"/>
      <c r="Z137" s="5" t="n"/>
      <c r="AA137" s="5" t="n"/>
      <c r="AB137" s="5" t="n"/>
      <c r="AC137" s="5" t="n"/>
      <c r="AD137" s="6" t="n"/>
      <c r="AE137" s="61" t="n"/>
      <c r="AF137" s="6" t="n"/>
      <c r="AG137" s="61" t="n"/>
      <c r="AH137" s="6" t="n"/>
      <c r="AI137" s="61" t="n"/>
      <c r="AJ137" s="6" t="n"/>
      <c r="AK137" s="61" t="n"/>
      <c r="AL137" s="6" t="n"/>
      <c r="AM137" s="61" t="n"/>
      <c r="AN137" s="5" t="n"/>
      <c r="AO137" s="6" t="n"/>
      <c r="AP137" s="61" t="n"/>
      <c r="AQ137" s="6" t="n"/>
      <c r="AR137" s="60" t="n"/>
      <c r="AS137" s="5" t="n"/>
      <c r="AT137" s="6" t="n"/>
      <c r="AU137" s="61" t="n"/>
      <c r="AV137" s="6" t="n"/>
      <c r="AW137" s="61" t="n"/>
      <c r="AX137" s="6" t="n"/>
      <c r="AY137" s="61" t="n"/>
      <c r="AZ137" s="6" t="n"/>
      <c r="BA137" s="61" t="n"/>
      <c r="BB137" s="5" t="n"/>
      <c r="BC137" s="6" t="n"/>
      <c r="BD137" s="61" t="n"/>
      <c r="BE137" s="6" t="n"/>
      <c r="BF137" s="60" t="n"/>
      <c r="BG137" s="5" t="n"/>
      <c r="BH137" s="6" t="n"/>
      <c r="BI137" s="62" t="n"/>
      <c r="BJ137" s="5" t="n"/>
      <c r="BK137" s="40" t="n"/>
    </row>
    <row r="138" ht="20" customHeight="1">
      <c r="A138" s="63" t="n"/>
      <c r="B138" s="6" t="n"/>
      <c r="C138" s="64" t="n"/>
      <c r="D138" s="5" t="n"/>
      <c r="E138" s="5" t="n"/>
      <c r="F138" s="6" t="n"/>
      <c r="G138" s="64" t="n"/>
      <c r="H138" s="5" t="n"/>
      <c r="I138" s="6" t="n"/>
      <c r="J138" s="64" t="n"/>
      <c r="K138" s="5" t="n"/>
      <c r="L138" s="6" t="n"/>
      <c r="M138" s="64" t="n"/>
      <c r="N138" s="5" t="n"/>
      <c r="O138" s="5" t="n"/>
      <c r="P138" s="5" t="n"/>
      <c r="Q138" s="6" t="n"/>
      <c r="R138" s="64" t="n"/>
      <c r="S138" s="5" t="n"/>
      <c r="T138" s="5" t="n"/>
      <c r="U138" s="5" t="n"/>
      <c r="V138" s="5" t="n"/>
      <c r="W138" s="5" t="n"/>
      <c r="X138" s="6" t="n"/>
      <c r="Y138" s="64" t="n"/>
      <c r="Z138" s="5" t="n"/>
      <c r="AA138" s="5" t="n"/>
      <c r="AB138" s="5" t="n"/>
      <c r="AC138" s="5" t="n"/>
      <c r="AD138" s="6" t="n"/>
      <c r="AE138" s="65" t="n"/>
      <c r="AF138" s="6" t="n"/>
      <c r="AG138" s="65" t="n"/>
      <c r="AH138" s="6" t="n"/>
      <c r="AI138" s="65" t="n"/>
      <c r="AJ138" s="6" t="n"/>
      <c r="AK138" s="65" t="n"/>
      <c r="AL138" s="6" t="n"/>
      <c r="AM138" s="65" t="n"/>
      <c r="AN138" s="5" t="n"/>
      <c r="AO138" s="6" t="n"/>
      <c r="AP138" s="65" t="n"/>
      <c r="AQ138" s="6" t="n"/>
      <c r="AR138" s="64" t="n"/>
      <c r="AS138" s="5" t="n"/>
      <c r="AT138" s="6" t="n"/>
      <c r="AU138" s="65" t="n"/>
      <c r="AV138" s="6" t="n"/>
      <c r="AW138" s="65" t="n"/>
      <c r="AX138" s="6" t="n"/>
      <c r="AY138" s="65" t="n"/>
      <c r="AZ138" s="6" t="n"/>
      <c r="BA138" s="65" t="n"/>
      <c r="BB138" s="5" t="n"/>
      <c r="BC138" s="6" t="n"/>
      <c r="BD138" s="65" t="n"/>
      <c r="BE138" s="6" t="n"/>
      <c r="BF138" s="64" t="n"/>
      <c r="BG138" s="5" t="n"/>
      <c r="BH138" s="6" t="n"/>
      <c r="BI138" s="66" t="n"/>
      <c r="BJ138" s="5" t="n"/>
      <c r="BK138" s="40" t="n"/>
    </row>
    <row r="139" ht="20" customHeight="1">
      <c r="A139" s="59" t="n"/>
      <c r="B139" s="6" t="n"/>
      <c r="C139" s="60" t="n"/>
      <c r="D139" s="5" t="n"/>
      <c r="E139" s="5" t="n"/>
      <c r="F139" s="6" t="n"/>
      <c r="G139" s="60" t="n"/>
      <c r="H139" s="5" t="n"/>
      <c r="I139" s="6" t="n"/>
      <c r="J139" s="60" t="n"/>
      <c r="K139" s="5" t="n"/>
      <c r="L139" s="6" t="n"/>
      <c r="M139" s="60" t="n"/>
      <c r="N139" s="5" t="n"/>
      <c r="O139" s="5" t="n"/>
      <c r="P139" s="5" t="n"/>
      <c r="Q139" s="6" t="n"/>
      <c r="R139" s="60" t="n"/>
      <c r="S139" s="5" t="n"/>
      <c r="T139" s="5" t="n"/>
      <c r="U139" s="5" t="n"/>
      <c r="V139" s="5" t="n"/>
      <c r="W139" s="5" t="n"/>
      <c r="X139" s="6" t="n"/>
      <c r="Y139" s="60" t="n"/>
      <c r="Z139" s="5" t="n"/>
      <c r="AA139" s="5" t="n"/>
      <c r="AB139" s="5" t="n"/>
      <c r="AC139" s="5" t="n"/>
      <c r="AD139" s="6" t="n"/>
      <c r="AE139" s="61" t="n"/>
      <c r="AF139" s="6" t="n"/>
      <c r="AG139" s="61" t="n"/>
      <c r="AH139" s="6" t="n"/>
      <c r="AI139" s="61" t="n"/>
      <c r="AJ139" s="6" t="n"/>
      <c r="AK139" s="61" t="n"/>
      <c r="AL139" s="6" t="n"/>
      <c r="AM139" s="61" t="n"/>
      <c r="AN139" s="5" t="n"/>
      <c r="AO139" s="6" t="n"/>
      <c r="AP139" s="61" t="n"/>
      <c r="AQ139" s="6" t="n"/>
      <c r="AR139" s="60" t="n"/>
      <c r="AS139" s="5" t="n"/>
      <c r="AT139" s="6" t="n"/>
      <c r="AU139" s="61" t="n"/>
      <c r="AV139" s="6" t="n"/>
      <c r="AW139" s="61" t="n"/>
      <c r="AX139" s="6" t="n"/>
      <c r="AY139" s="61" t="n"/>
      <c r="AZ139" s="6" t="n"/>
      <c r="BA139" s="61" t="n"/>
      <c r="BB139" s="5" t="n"/>
      <c r="BC139" s="6" t="n"/>
      <c r="BD139" s="61" t="n"/>
      <c r="BE139" s="6" t="n"/>
      <c r="BF139" s="60" t="n"/>
      <c r="BG139" s="5" t="n"/>
      <c r="BH139" s="6" t="n"/>
      <c r="BI139" s="62" t="n"/>
      <c r="BJ139" s="5" t="n"/>
      <c r="BK139" s="40" t="n"/>
    </row>
    <row r="140" ht="20" customHeight="1">
      <c r="A140" s="63" t="n"/>
      <c r="B140" s="6" t="n"/>
      <c r="C140" s="64" t="n"/>
      <c r="D140" s="5" t="n"/>
      <c r="E140" s="5" t="n"/>
      <c r="F140" s="6" t="n"/>
      <c r="G140" s="64" t="n"/>
      <c r="H140" s="5" t="n"/>
      <c r="I140" s="6" t="n"/>
      <c r="J140" s="64" t="n"/>
      <c r="K140" s="5" t="n"/>
      <c r="L140" s="6" t="n"/>
      <c r="M140" s="64" t="n"/>
      <c r="N140" s="5" t="n"/>
      <c r="O140" s="5" t="n"/>
      <c r="P140" s="5" t="n"/>
      <c r="Q140" s="6" t="n"/>
      <c r="R140" s="64" t="n"/>
      <c r="S140" s="5" t="n"/>
      <c r="T140" s="5" t="n"/>
      <c r="U140" s="5" t="n"/>
      <c r="V140" s="5" t="n"/>
      <c r="W140" s="5" t="n"/>
      <c r="X140" s="6" t="n"/>
      <c r="Y140" s="64" t="n"/>
      <c r="Z140" s="5" t="n"/>
      <c r="AA140" s="5" t="n"/>
      <c r="AB140" s="5" t="n"/>
      <c r="AC140" s="5" t="n"/>
      <c r="AD140" s="6" t="n"/>
      <c r="AE140" s="65" t="n"/>
      <c r="AF140" s="6" t="n"/>
      <c r="AG140" s="65" t="n"/>
      <c r="AH140" s="6" t="n"/>
      <c r="AI140" s="65" t="n"/>
      <c r="AJ140" s="6" t="n"/>
      <c r="AK140" s="65" t="n"/>
      <c r="AL140" s="6" t="n"/>
      <c r="AM140" s="65" t="n"/>
      <c r="AN140" s="5" t="n"/>
      <c r="AO140" s="6" t="n"/>
      <c r="AP140" s="65" t="n"/>
      <c r="AQ140" s="6" t="n"/>
      <c r="AR140" s="64" t="n"/>
      <c r="AS140" s="5" t="n"/>
      <c r="AT140" s="6" t="n"/>
      <c r="AU140" s="65" t="n"/>
      <c r="AV140" s="6" t="n"/>
      <c r="AW140" s="65" t="n"/>
      <c r="AX140" s="6" t="n"/>
      <c r="AY140" s="65" t="n"/>
      <c r="AZ140" s="6" t="n"/>
      <c r="BA140" s="65" t="n"/>
      <c r="BB140" s="5" t="n"/>
      <c r="BC140" s="6" t="n"/>
      <c r="BD140" s="65" t="n"/>
      <c r="BE140" s="6" t="n"/>
      <c r="BF140" s="64" t="n"/>
      <c r="BG140" s="5" t="n"/>
      <c r="BH140" s="6" t="n"/>
      <c r="BI140" s="66" t="n"/>
      <c r="BJ140" s="5" t="n"/>
      <c r="BK140" s="40" t="n"/>
    </row>
    <row r="141" ht="20" customHeight="1">
      <c r="A141" s="59" t="n"/>
      <c r="B141" s="6" t="n"/>
      <c r="C141" s="60" t="n"/>
      <c r="D141" s="5" t="n"/>
      <c r="E141" s="5" t="n"/>
      <c r="F141" s="6" t="n"/>
      <c r="G141" s="60" t="n"/>
      <c r="H141" s="5" t="n"/>
      <c r="I141" s="6" t="n"/>
      <c r="J141" s="60" t="n"/>
      <c r="K141" s="5" t="n"/>
      <c r="L141" s="6" t="n"/>
      <c r="M141" s="60" t="n"/>
      <c r="N141" s="5" t="n"/>
      <c r="O141" s="5" t="n"/>
      <c r="P141" s="5" t="n"/>
      <c r="Q141" s="6" t="n"/>
      <c r="R141" s="60" t="n"/>
      <c r="S141" s="5" t="n"/>
      <c r="T141" s="5" t="n"/>
      <c r="U141" s="5" t="n"/>
      <c r="V141" s="5" t="n"/>
      <c r="W141" s="5" t="n"/>
      <c r="X141" s="6" t="n"/>
      <c r="Y141" s="60" t="n"/>
      <c r="Z141" s="5" t="n"/>
      <c r="AA141" s="5" t="n"/>
      <c r="AB141" s="5" t="n"/>
      <c r="AC141" s="5" t="n"/>
      <c r="AD141" s="6" t="n"/>
      <c r="AE141" s="61" t="n"/>
      <c r="AF141" s="6" t="n"/>
      <c r="AG141" s="61" t="n"/>
      <c r="AH141" s="6" t="n"/>
      <c r="AI141" s="61" t="n"/>
      <c r="AJ141" s="6" t="n"/>
      <c r="AK141" s="61" t="n"/>
      <c r="AL141" s="6" t="n"/>
      <c r="AM141" s="61" t="n"/>
      <c r="AN141" s="5" t="n"/>
      <c r="AO141" s="6" t="n"/>
      <c r="AP141" s="61" t="n"/>
      <c r="AQ141" s="6" t="n"/>
      <c r="AR141" s="60" t="n"/>
      <c r="AS141" s="5" t="n"/>
      <c r="AT141" s="6" t="n"/>
      <c r="AU141" s="61" t="n"/>
      <c r="AV141" s="6" t="n"/>
      <c r="AW141" s="61" t="n"/>
      <c r="AX141" s="6" t="n"/>
      <c r="AY141" s="61" t="n"/>
      <c r="AZ141" s="6" t="n"/>
      <c r="BA141" s="61" t="n"/>
      <c r="BB141" s="5" t="n"/>
      <c r="BC141" s="6" t="n"/>
      <c r="BD141" s="61" t="n"/>
      <c r="BE141" s="6" t="n"/>
      <c r="BF141" s="60" t="n"/>
      <c r="BG141" s="5" t="n"/>
      <c r="BH141" s="6" t="n"/>
      <c r="BI141" s="62" t="n"/>
      <c r="BJ141" s="5" t="n"/>
      <c r="BK141" s="40" t="n"/>
    </row>
    <row r="142" ht="20" customHeight="1">
      <c r="A142" s="63" t="n"/>
      <c r="B142" s="6" t="n"/>
      <c r="C142" s="64" t="n"/>
      <c r="D142" s="5" t="n"/>
      <c r="E142" s="5" t="n"/>
      <c r="F142" s="6" t="n"/>
      <c r="G142" s="64" t="n"/>
      <c r="H142" s="5" t="n"/>
      <c r="I142" s="6" t="n"/>
      <c r="J142" s="64" t="n"/>
      <c r="K142" s="5" t="n"/>
      <c r="L142" s="6" t="n"/>
      <c r="M142" s="64" t="n"/>
      <c r="N142" s="5" t="n"/>
      <c r="O142" s="5" t="n"/>
      <c r="P142" s="5" t="n"/>
      <c r="Q142" s="6" t="n"/>
      <c r="R142" s="64" t="n"/>
      <c r="S142" s="5" t="n"/>
      <c r="T142" s="5" t="n"/>
      <c r="U142" s="5" t="n"/>
      <c r="V142" s="5" t="n"/>
      <c r="W142" s="5" t="n"/>
      <c r="X142" s="6" t="n"/>
      <c r="Y142" s="64" t="n"/>
      <c r="Z142" s="5" t="n"/>
      <c r="AA142" s="5" t="n"/>
      <c r="AB142" s="5" t="n"/>
      <c r="AC142" s="5" t="n"/>
      <c r="AD142" s="6" t="n"/>
      <c r="AE142" s="65" t="n"/>
      <c r="AF142" s="6" t="n"/>
      <c r="AG142" s="65" t="n"/>
      <c r="AH142" s="6" t="n"/>
      <c r="AI142" s="65" t="n"/>
      <c r="AJ142" s="6" t="n"/>
      <c r="AK142" s="65" t="n"/>
      <c r="AL142" s="6" t="n"/>
      <c r="AM142" s="65" t="n"/>
      <c r="AN142" s="5" t="n"/>
      <c r="AO142" s="6" t="n"/>
      <c r="AP142" s="65" t="n"/>
      <c r="AQ142" s="6" t="n"/>
      <c r="AR142" s="64" t="n"/>
      <c r="AS142" s="5" t="n"/>
      <c r="AT142" s="6" t="n"/>
      <c r="AU142" s="65" t="n"/>
      <c r="AV142" s="6" t="n"/>
      <c r="AW142" s="65" t="n"/>
      <c r="AX142" s="6" t="n"/>
      <c r="AY142" s="65" t="n"/>
      <c r="AZ142" s="6" t="n"/>
      <c r="BA142" s="65" t="n"/>
      <c r="BB142" s="5" t="n"/>
      <c r="BC142" s="6" t="n"/>
      <c r="BD142" s="65" t="n"/>
      <c r="BE142" s="6" t="n"/>
      <c r="BF142" s="64" t="n"/>
      <c r="BG142" s="5" t="n"/>
      <c r="BH142" s="6" t="n"/>
      <c r="BI142" s="66" t="n"/>
      <c r="BJ142" s="5" t="n"/>
      <c r="BK142" s="40" t="n"/>
    </row>
    <row r="143" ht="20" customHeight="1">
      <c r="A143" s="59" t="n"/>
      <c r="B143" s="6" t="n"/>
      <c r="C143" s="60" t="n"/>
      <c r="D143" s="5" t="n"/>
      <c r="E143" s="5" t="n"/>
      <c r="F143" s="6" t="n"/>
      <c r="G143" s="60" t="n"/>
      <c r="H143" s="5" t="n"/>
      <c r="I143" s="6" t="n"/>
      <c r="J143" s="60" t="n"/>
      <c r="K143" s="5" t="n"/>
      <c r="L143" s="6" t="n"/>
      <c r="M143" s="60" t="n"/>
      <c r="N143" s="5" t="n"/>
      <c r="O143" s="5" t="n"/>
      <c r="P143" s="5" t="n"/>
      <c r="Q143" s="6" t="n"/>
      <c r="R143" s="60" t="n"/>
      <c r="S143" s="5" t="n"/>
      <c r="T143" s="5" t="n"/>
      <c r="U143" s="5" t="n"/>
      <c r="V143" s="5" t="n"/>
      <c r="W143" s="5" t="n"/>
      <c r="X143" s="6" t="n"/>
      <c r="Y143" s="60" t="n"/>
      <c r="Z143" s="5" t="n"/>
      <c r="AA143" s="5" t="n"/>
      <c r="AB143" s="5" t="n"/>
      <c r="AC143" s="5" t="n"/>
      <c r="AD143" s="6" t="n"/>
      <c r="AE143" s="61" t="n"/>
      <c r="AF143" s="6" t="n"/>
      <c r="AG143" s="61" t="n"/>
      <c r="AH143" s="6" t="n"/>
      <c r="AI143" s="61" t="n"/>
      <c r="AJ143" s="6" t="n"/>
      <c r="AK143" s="61" t="n"/>
      <c r="AL143" s="6" t="n"/>
      <c r="AM143" s="61" t="n"/>
      <c r="AN143" s="5" t="n"/>
      <c r="AO143" s="6" t="n"/>
      <c r="AP143" s="61" t="n"/>
      <c r="AQ143" s="6" t="n"/>
      <c r="AR143" s="60" t="n"/>
      <c r="AS143" s="5" t="n"/>
      <c r="AT143" s="6" t="n"/>
      <c r="AU143" s="61" t="n"/>
      <c r="AV143" s="6" t="n"/>
      <c r="AW143" s="61" t="n"/>
      <c r="AX143" s="6" t="n"/>
      <c r="AY143" s="61" t="n"/>
      <c r="AZ143" s="6" t="n"/>
      <c r="BA143" s="61" t="n"/>
      <c r="BB143" s="5" t="n"/>
      <c r="BC143" s="6" t="n"/>
      <c r="BD143" s="61" t="n"/>
      <c r="BE143" s="6" t="n"/>
      <c r="BF143" s="60" t="n"/>
      <c r="BG143" s="5" t="n"/>
      <c r="BH143" s="6" t="n"/>
      <c r="BI143" s="62" t="n"/>
      <c r="BJ143" s="5" t="n"/>
      <c r="BK143" s="40" t="n"/>
    </row>
    <row r="144" ht="20" customHeight="1">
      <c r="A144" s="63" t="n"/>
      <c r="B144" s="6" t="n"/>
      <c r="C144" s="64" t="n"/>
      <c r="D144" s="5" t="n"/>
      <c r="E144" s="5" t="n"/>
      <c r="F144" s="6" t="n"/>
      <c r="G144" s="64" t="n"/>
      <c r="H144" s="5" t="n"/>
      <c r="I144" s="6" t="n"/>
      <c r="J144" s="64" t="n"/>
      <c r="K144" s="5" t="n"/>
      <c r="L144" s="6" t="n"/>
      <c r="M144" s="64" t="n"/>
      <c r="N144" s="5" t="n"/>
      <c r="O144" s="5" t="n"/>
      <c r="P144" s="5" t="n"/>
      <c r="Q144" s="6" t="n"/>
      <c r="R144" s="64" t="n"/>
      <c r="S144" s="5" t="n"/>
      <c r="T144" s="5" t="n"/>
      <c r="U144" s="5" t="n"/>
      <c r="V144" s="5" t="n"/>
      <c r="W144" s="5" t="n"/>
      <c r="X144" s="6" t="n"/>
      <c r="Y144" s="64" t="n"/>
      <c r="Z144" s="5" t="n"/>
      <c r="AA144" s="5" t="n"/>
      <c r="AB144" s="5" t="n"/>
      <c r="AC144" s="5" t="n"/>
      <c r="AD144" s="6" t="n"/>
      <c r="AE144" s="65" t="n"/>
      <c r="AF144" s="6" t="n"/>
      <c r="AG144" s="65" t="n"/>
      <c r="AH144" s="6" t="n"/>
      <c r="AI144" s="65" t="n"/>
      <c r="AJ144" s="6" t="n"/>
      <c r="AK144" s="65" t="n"/>
      <c r="AL144" s="6" t="n"/>
      <c r="AM144" s="65" t="n"/>
      <c r="AN144" s="5" t="n"/>
      <c r="AO144" s="6" t="n"/>
      <c r="AP144" s="65" t="n"/>
      <c r="AQ144" s="6" t="n"/>
      <c r="AR144" s="64" t="n"/>
      <c r="AS144" s="5" t="n"/>
      <c r="AT144" s="6" t="n"/>
      <c r="AU144" s="65" t="n"/>
      <c r="AV144" s="6" t="n"/>
      <c r="AW144" s="65" t="n"/>
      <c r="AX144" s="6" t="n"/>
      <c r="AY144" s="65" t="n"/>
      <c r="AZ144" s="6" t="n"/>
      <c r="BA144" s="65" t="n"/>
      <c r="BB144" s="5" t="n"/>
      <c r="BC144" s="6" t="n"/>
      <c r="BD144" s="65" t="n"/>
      <c r="BE144" s="6" t="n"/>
      <c r="BF144" s="64" t="n"/>
      <c r="BG144" s="5" t="n"/>
      <c r="BH144" s="6" t="n"/>
      <c r="BI144" s="66" t="n"/>
      <c r="BJ144" s="5" t="n"/>
      <c r="BK144" s="40" t="n"/>
    </row>
    <row r="145" ht="20" customHeight="1">
      <c r="A145" s="59" t="n"/>
      <c r="B145" s="6" t="n"/>
      <c r="C145" s="60" t="n"/>
      <c r="D145" s="5" t="n"/>
      <c r="E145" s="5" t="n"/>
      <c r="F145" s="6" t="n"/>
      <c r="G145" s="60" t="n"/>
      <c r="H145" s="5" t="n"/>
      <c r="I145" s="6" t="n"/>
      <c r="J145" s="60" t="n"/>
      <c r="K145" s="5" t="n"/>
      <c r="L145" s="6" t="n"/>
      <c r="M145" s="60" t="n"/>
      <c r="N145" s="5" t="n"/>
      <c r="O145" s="5" t="n"/>
      <c r="P145" s="5" t="n"/>
      <c r="Q145" s="6" t="n"/>
      <c r="R145" s="60" t="n"/>
      <c r="S145" s="5" t="n"/>
      <c r="T145" s="5" t="n"/>
      <c r="U145" s="5" t="n"/>
      <c r="V145" s="5" t="n"/>
      <c r="W145" s="5" t="n"/>
      <c r="X145" s="6" t="n"/>
      <c r="Y145" s="60" t="n"/>
      <c r="Z145" s="5" t="n"/>
      <c r="AA145" s="5" t="n"/>
      <c r="AB145" s="5" t="n"/>
      <c r="AC145" s="5" t="n"/>
      <c r="AD145" s="6" t="n"/>
      <c r="AE145" s="61" t="n"/>
      <c r="AF145" s="6" t="n"/>
      <c r="AG145" s="61" t="n"/>
      <c r="AH145" s="6" t="n"/>
      <c r="AI145" s="61" t="n"/>
      <c r="AJ145" s="6" t="n"/>
      <c r="AK145" s="61" t="n"/>
      <c r="AL145" s="6" t="n"/>
      <c r="AM145" s="61" t="n"/>
      <c r="AN145" s="5" t="n"/>
      <c r="AO145" s="6" t="n"/>
      <c r="AP145" s="61" t="n"/>
      <c r="AQ145" s="6" t="n"/>
      <c r="AR145" s="60" t="n"/>
      <c r="AS145" s="5" t="n"/>
      <c r="AT145" s="6" t="n"/>
      <c r="AU145" s="61" t="n"/>
      <c r="AV145" s="6" t="n"/>
      <c r="AW145" s="61" t="n"/>
      <c r="AX145" s="6" t="n"/>
      <c r="AY145" s="61" t="n"/>
      <c r="AZ145" s="6" t="n"/>
      <c r="BA145" s="61" t="n"/>
      <c r="BB145" s="5" t="n"/>
      <c r="BC145" s="6" t="n"/>
      <c r="BD145" s="61" t="n"/>
      <c r="BE145" s="6" t="n"/>
      <c r="BF145" s="60" t="n"/>
      <c r="BG145" s="5" t="n"/>
      <c r="BH145" s="6" t="n"/>
      <c r="BI145" s="62" t="n"/>
      <c r="BJ145" s="5" t="n"/>
      <c r="BK145" s="40" t="n"/>
    </row>
    <row r="146" ht="20" customHeight="1">
      <c r="A146" s="63" t="n"/>
      <c r="B146" s="6" t="n"/>
      <c r="C146" s="64" t="n"/>
      <c r="D146" s="5" t="n"/>
      <c r="E146" s="5" t="n"/>
      <c r="F146" s="6" t="n"/>
      <c r="G146" s="64" t="n"/>
      <c r="H146" s="5" t="n"/>
      <c r="I146" s="6" t="n"/>
      <c r="J146" s="64" t="n"/>
      <c r="K146" s="5" t="n"/>
      <c r="L146" s="6" t="n"/>
      <c r="M146" s="64" t="n"/>
      <c r="N146" s="5" t="n"/>
      <c r="O146" s="5" t="n"/>
      <c r="P146" s="5" t="n"/>
      <c r="Q146" s="6" t="n"/>
      <c r="R146" s="64" t="n"/>
      <c r="S146" s="5" t="n"/>
      <c r="T146" s="5" t="n"/>
      <c r="U146" s="5" t="n"/>
      <c r="V146" s="5" t="n"/>
      <c r="W146" s="5" t="n"/>
      <c r="X146" s="6" t="n"/>
      <c r="Y146" s="64" t="n"/>
      <c r="Z146" s="5" t="n"/>
      <c r="AA146" s="5" t="n"/>
      <c r="AB146" s="5" t="n"/>
      <c r="AC146" s="5" t="n"/>
      <c r="AD146" s="6" t="n"/>
      <c r="AE146" s="65" t="n"/>
      <c r="AF146" s="6" t="n"/>
      <c r="AG146" s="65" t="n"/>
      <c r="AH146" s="6" t="n"/>
      <c r="AI146" s="65" t="n"/>
      <c r="AJ146" s="6" t="n"/>
      <c r="AK146" s="65" t="n"/>
      <c r="AL146" s="6" t="n"/>
      <c r="AM146" s="65" t="n"/>
      <c r="AN146" s="5" t="n"/>
      <c r="AO146" s="6" t="n"/>
      <c r="AP146" s="65" t="n"/>
      <c r="AQ146" s="6" t="n"/>
      <c r="AR146" s="64" t="n"/>
      <c r="AS146" s="5" t="n"/>
      <c r="AT146" s="6" t="n"/>
      <c r="AU146" s="65" t="n"/>
      <c r="AV146" s="6" t="n"/>
      <c r="AW146" s="65" t="n"/>
      <c r="AX146" s="6" t="n"/>
      <c r="AY146" s="65" t="n"/>
      <c r="AZ146" s="6" t="n"/>
      <c r="BA146" s="65" t="n"/>
      <c r="BB146" s="5" t="n"/>
      <c r="BC146" s="6" t="n"/>
      <c r="BD146" s="65" t="n"/>
      <c r="BE146" s="6" t="n"/>
      <c r="BF146" s="64" t="n"/>
      <c r="BG146" s="5" t="n"/>
      <c r="BH146" s="6" t="n"/>
      <c r="BI146" s="66" t="n"/>
      <c r="BJ146" s="5" t="n"/>
      <c r="BK146" s="40" t="n"/>
    </row>
    <row r="147" ht="20" customHeight="1">
      <c r="A147" s="59" t="n"/>
      <c r="B147" s="6" t="n"/>
      <c r="C147" s="60" t="n"/>
      <c r="D147" s="5" t="n"/>
      <c r="E147" s="5" t="n"/>
      <c r="F147" s="6" t="n"/>
      <c r="G147" s="60" t="n"/>
      <c r="H147" s="5" t="n"/>
      <c r="I147" s="6" t="n"/>
      <c r="J147" s="60" t="n"/>
      <c r="K147" s="5" t="n"/>
      <c r="L147" s="6" t="n"/>
      <c r="M147" s="60" t="n"/>
      <c r="N147" s="5" t="n"/>
      <c r="O147" s="5" t="n"/>
      <c r="P147" s="5" t="n"/>
      <c r="Q147" s="6" t="n"/>
      <c r="R147" s="60" t="n"/>
      <c r="S147" s="5" t="n"/>
      <c r="T147" s="5" t="n"/>
      <c r="U147" s="5" t="n"/>
      <c r="V147" s="5" t="n"/>
      <c r="W147" s="5" t="n"/>
      <c r="X147" s="6" t="n"/>
      <c r="Y147" s="60" t="n"/>
      <c r="Z147" s="5" t="n"/>
      <c r="AA147" s="5" t="n"/>
      <c r="AB147" s="5" t="n"/>
      <c r="AC147" s="5" t="n"/>
      <c r="AD147" s="6" t="n"/>
      <c r="AE147" s="61" t="n"/>
      <c r="AF147" s="6" t="n"/>
      <c r="AG147" s="61" t="n"/>
      <c r="AH147" s="6" t="n"/>
      <c r="AI147" s="61" t="n"/>
      <c r="AJ147" s="6" t="n"/>
      <c r="AK147" s="61" t="n"/>
      <c r="AL147" s="6" t="n"/>
      <c r="AM147" s="61" t="n"/>
      <c r="AN147" s="5" t="n"/>
      <c r="AO147" s="6" t="n"/>
      <c r="AP147" s="61" t="n"/>
      <c r="AQ147" s="6" t="n"/>
      <c r="AR147" s="60" t="n"/>
      <c r="AS147" s="5" t="n"/>
      <c r="AT147" s="6" t="n"/>
      <c r="AU147" s="61" t="n"/>
      <c r="AV147" s="6" t="n"/>
      <c r="AW147" s="61" t="n"/>
      <c r="AX147" s="6" t="n"/>
      <c r="AY147" s="61" t="n"/>
      <c r="AZ147" s="6" t="n"/>
      <c r="BA147" s="61" t="n"/>
      <c r="BB147" s="5" t="n"/>
      <c r="BC147" s="6" t="n"/>
      <c r="BD147" s="61" t="n"/>
      <c r="BE147" s="6" t="n"/>
      <c r="BF147" s="60" t="n"/>
      <c r="BG147" s="5" t="n"/>
      <c r="BH147" s="6" t="n"/>
      <c r="BI147" s="62" t="n"/>
      <c r="BJ147" s="5" t="n"/>
      <c r="BK147" s="40" t="n"/>
    </row>
    <row r="148" ht="20" customHeight="1">
      <c r="A148" s="63" t="n"/>
      <c r="B148" s="6" t="n"/>
      <c r="C148" s="64" t="n"/>
      <c r="D148" s="5" t="n"/>
      <c r="E148" s="5" t="n"/>
      <c r="F148" s="6" t="n"/>
      <c r="G148" s="64" t="n"/>
      <c r="H148" s="5" t="n"/>
      <c r="I148" s="6" t="n"/>
      <c r="J148" s="64" t="n"/>
      <c r="K148" s="5" t="n"/>
      <c r="L148" s="6" t="n"/>
      <c r="M148" s="64" t="n"/>
      <c r="N148" s="5" t="n"/>
      <c r="O148" s="5" t="n"/>
      <c r="P148" s="5" t="n"/>
      <c r="Q148" s="6" t="n"/>
      <c r="R148" s="64" t="n"/>
      <c r="S148" s="5" t="n"/>
      <c r="T148" s="5" t="n"/>
      <c r="U148" s="5" t="n"/>
      <c r="V148" s="5" t="n"/>
      <c r="W148" s="5" t="n"/>
      <c r="X148" s="6" t="n"/>
      <c r="Y148" s="64" t="n"/>
      <c r="Z148" s="5" t="n"/>
      <c r="AA148" s="5" t="n"/>
      <c r="AB148" s="5" t="n"/>
      <c r="AC148" s="5" t="n"/>
      <c r="AD148" s="6" t="n"/>
      <c r="AE148" s="65" t="n"/>
      <c r="AF148" s="6" t="n"/>
      <c r="AG148" s="65" t="n"/>
      <c r="AH148" s="6" t="n"/>
      <c r="AI148" s="65" t="n"/>
      <c r="AJ148" s="6" t="n"/>
      <c r="AK148" s="65" t="n"/>
      <c r="AL148" s="6" t="n"/>
      <c r="AM148" s="65" t="n"/>
      <c r="AN148" s="5" t="n"/>
      <c r="AO148" s="6" t="n"/>
      <c r="AP148" s="65" t="n"/>
      <c r="AQ148" s="6" t="n"/>
      <c r="AR148" s="64" t="n"/>
      <c r="AS148" s="5" t="n"/>
      <c r="AT148" s="6" t="n"/>
      <c r="AU148" s="65" t="n"/>
      <c r="AV148" s="6" t="n"/>
      <c r="AW148" s="65" t="n"/>
      <c r="AX148" s="6" t="n"/>
      <c r="AY148" s="65" t="n"/>
      <c r="AZ148" s="6" t="n"/>
      <c r="BA148" s="65" t="n"/>
      <c r="BB148" s="5" t="n"/>
      <c r="BC148" s="6" t="n"/>
      <c r="BD148" s="65" t="n"/>
      <c r="BE148" s="6" t="n"/>
      <c r="BF148" s="64" t="n"/>
      <c r="BG148" s="5" t="n"/>
      <c r="BH148" s="6" t="n"/>
      <c r="BI148" s="66" t="n"/>
      <c r="BJ148" s="5" t="n"/>
      <c r="BK148" s="40" t="n"/>
    </row>
    <row r="149" ht="20" customHeight="1">
      <c r="A149" s="59" t="n"/>
      <c r="B149" s="6" t="n"/>
      <c r="C149" s="60" t="n"/>
      <c r="D149" s="5" t="n"/>
      <c r="E149" s="5" t="n"/>
      <c r="F149" s="6" t="n"/>
      <c r="G149" s="60" t="n"/>
      <c r="H149" s="5" t="n"/>
      <c r="I149" s="6" t="n"/>
      <c r="J149" s="60" t="n"/>
      <c r="K149" s="5" t="n"/>
      <c r="L149" s="6" t="n"/>
      <c r="M149" s="60" t="n"/>
      <c r="N149" s="5" t="n"/>
      <c r="O149" s="5" t="n"/>
      <c r="P149" s="5" t="n"/>
      <c r="Q149" s="6" t="n"/>
      <c r="R149" s="60" t="n"/>
      <c r="S149" s="5" t="n"/>
      <c r="T149" s="5" t="n"/>
      <c r="U149" s="5" t="n"/>
      <c r="V149" s="5" t="n"/>
      <c r="W149" s="5" t="n"/>
      <c r="X149" s="6" t="n"/>
      <c r="Y149" s="60" t="n"/>
      <c r="Z149" s="5" t="n"/>
      <c r="AA149" s="5" t="n"/>
      <c r="AB149" s="5" t="n"/>
      <c r="AC149" s="5" t="n"/>
      <c r="AD149" s="6" t="n"/>
      <c r="AE149" s="61" t="n"/>
      <c r="AF149" s="6" t="n"/>
      <c r="AG149" s="61" t="n"/>
      <c r="AH149" s="6" t="n"/>
      <c r="AI149" s="61" t="n"/>
      <c r="AJ149" s="6" t="n"/>
      <c r="AK149" s="61" t="n"/>
      <c r="AL149" s="6" t="n"/>
      <c r="AM149" s="61" t="n"/>
      <c r="AN149" s="5" t="n"/>
      <c r="AO149" s="6" t="n"/>
      <c r="AP149" s="61" t="n"/>
      <c r="AQ149" s="6" t="n"/>
      <c r="AR149" s="60" t="n"/>
      <c r="AS149" s="5" t="n"/>
      <c r="AT149" s="6" t="n"/>
      <c r="AU149" s="61" t="n"/>
      <c r="AV149" s="6" t="n"/>
      <c r="AW149" s="61" t="n"/>
      <c r="AX149" s="6" t="n"/>
      <c r="AY149" s="61" t="n"/>
      <c r="AZ149" s="6" t="n"/>
      <c r="BA149" s="61" t="n"/>
      <c r="BB149" s="5" t="n"/>
      <c r="BC149" s="6" t="n"/>
      <c r="BD149" s="61" t="n"/>
      <c r="BE149" s="6" t="n"/>
      <c r="BF149" s="60" t="n"/>
      <c r="BG149" s="5" t="n"/>
      <c r="BH149" s="6" t="n"/>
      <c r="BI149" s="62" t="n"/>
      <c r="BJ149" s="5" t="n"/>
      <c r="BK149" s="40" t="n"/>
    </row>
    <row r="150" ht="20" customHeight="1">
      <c r="A150" s="63" t="n"/>
      <c r="B150" s="6" t="n"/>
      <c r="C150" s="64" t="n"/>
      <c r="D150" s="5" t="n"/>
      <c r="E150" s="5" t="n"/>
      <c r="F150" s="6" t="n"/>
      <c r="G150" s="64" t="n"/>
      <c r="H150" s="5" t="n"/>
      <c r="I150" s="6" t="n"/>
      <c r="J150" s="64" t="n"/>
      <c r="K150" s="5" t="n"/>
      <c r="L150" s="6" t="n"/>
      <c r="M150" s="64" t="n"/>
      <c r="N150" s="5" t="n"/>
      <c r="O150" s="5" t="n"/>
      <c r="P150" s="5" t="n"/>
      <c r="Q150" s="6" t="n"/>
      <c r="R150" s="64" t="n"/>
      <c r="S150" s="5" t="n"/>
      <c r="T150" s="5" t="n"/>
      <c r="U150" s="5" t="n"/>
      <c r="V150" s="5" t="n"/>
      <c r="W150" s="5" t="n"/>
      <c r="X150" s="6" t="n"/>
      <c r="Y150" s="64" t="n"/>
      <c r="Z150" s="5" t="n"/>
      <c r="AA150" s="5" t="n"/>
      <c r="AB150" s="5" t="n"/>
      <c r="AC150" s="5" t="n"/>
      <c r="AD150" s="6" t="n"/>
      <c r="AE150" s="65" t="n"/>
      <c r="AF150" s="6" t="n"/>
      <c r="AG150" s="65" t="n"/>
      <c r="AH150" s="6" t="n"/>
      <c r="AI150" s="65" t="n"/>
      <c r="AJ150" s="6" t="n"/>
      <c r="AK150" s="65" t="n"/>
      <c r="AL150" s="6" t="n"/>
      <c r="AM150" s="65" t="n"/>
      <c r="AN150" s="5" t="n"/>
      <c r="AO150" s="6" t="n"/>
      <c r="AP150" s="65" t="n"/>
      <c r="AQ150" s="6" t="n"/>
      <c r="AR150" s="64" t="n"/>
      <c r="AS150" s="5" t="n"/>
      <c r="AT150" s="6" t="n"/>
      <c r="AU150" s="65" t="n"/>
      <c r="AV150" s="6" t="n"/>
      <c r="AW150" s="65" t="n"/>
      <c r="AX150" s="6" t="n"/>
      <c r="AY150" s="65" t="n"/>
      <c r="AZ150" s="6" t="n"/>
      <c r="BA150" s="65" t="n"/>
      <c r="BB150" s="5" t="n"/>
      <c r="BC150" s="6" t="n"/>
      <c r="BD150" s="65" t="n"/>
      <c r="BE150" s="6" t="n"/>
      <c r="BF150" s="64" t="n"/>
      <c r="BG150" s="5" t="n"/>
      <c r="BH150" s="6" t="n"/>
      <c r="BI150" s="66" t="n"/>
      <c r="BJ150" s="5" t="n"/>
      <c r="BK150" s="40" t="n"/>
    </row>
    <row r="151" ht="20" customHeight="1">
      <c r="A151" s="59" t="n"/>
      <c r="B151" s="6" t="n"/>
      <c r="C151" s="60" t="n"/>
      <c r="D151" s="5" t="n"/>
      <c r="E151" s="5" t="n"/>
      <c r="F151" s="6" t="n"/>
      <c r="G151" s="60" t="n"/>
      <c r="H151" s="5" t="n"/>
      <c r="I151" s="6" t="n"/>
      <c r="J151" s="60" t="n"/>
      <c r="K151" s="5" t="n"/>
      <c r="L151" s="6" t="n"/>
      <c r="M151" s="60" t="n"/>
      <c r="N151" s="5" t="n"/>
      <c r="O151" s="5" t="n"/>
      <c r="P151" s="5" t="n"/>
      <c r="Q151" s="6" t="n"/>
      <c r="R151" s="60" t="n"/>
      <c r="S151" s="5" t="n"/>
      <c r="T151" s="5" t="n"/>
      <c r="U151" s="5" t="n"/>
      <c r="V151" s="5" t="n"/>
      <c r="W151" s="5" t="n"/>
      <c r="X151" s="6" t="n"/>
      <c r="Y151" s="60" t="n"/>
      <c r="Z151" s="5" t="n"/>
      <c r="AA151" s="5" t="n"/>
      <c r="AB151" s="5" t="n"/>
      <c r="AC151" s="5" t="n"/>
      <c r="AD151" s="6" t="n"/>
      <c r="AE151" s="61" t="n"/>
      <c r="AF151" s="6" t="n"/>
      <c r="AG151" s="61" t="n"/>
      <c r="AH151" s="6" t="n"/>
      <c r="AI151" s="61" t="n"/>
      <c r="AJ151" s="6" t="n"/>
      <c r="AK151" s="61" t="n"/>
      <c r="AL151" s="6" t="n"/>
      <c r="AM151" s="61" t="n"/>
      <c r="AN151" s="5" t="n"/>
      <c r="AO151" s="6" t="n"/>
      <c r="AP151" s="61" t="n"/>
      <c r="AQ151" s="6" t="n"/>
      <c r="AR151" s="60" t="n"/>
      <c r="AS151" s="5" t="n"/>
      <c r="AT151" s="6" t="n"/>
      <c r="AU151" s="61" t="n"/>
      <c r="AV151" s="6" t="n"/>
      <c r="AW151" s="61" t="n"/>
      <c r="AX151" s="6" t="n"/>
      <c r="AY151" s="61" t="n"/>
      <c r="AZ151" s="6" t="n"/>
      <c r="BA151" s="61" t="n"/>
      <c r="BB151" s="5" t="n"/>
      <c r="BC151" s="6" t="n"/>
      <c r="BD151" s="61" t="n"/>
      <c r="BE151" s="6" t="n"/>
      <c r="BF151" s="60" t="n"/>
      <c r="BG151" s="5" t="n"/>
      <c r="BH151" s="6" t="n"/>
      <c r="BI151" s="62" t="n"/>
      <c r="BJ151" s="5" t="n"/>
      <c r="BK151" s="40" t="n"/>
    </row>
    <row r="152" ht="20" customHeight="1">
      <c r="A152" s="63" t="n"/>
      <c r="B152" s="6" t="n"/>
      <c r="C152" s="64" t="n"/>
      <c r="D152" s="5" t="n"/>
      <c r="E152" s="5" t="n"/>
      <c r="F152" s="6" t="n"/>
      <c r="G152" s="64" t="n"/>
      <c r="H152" s="5" t="n"/>
      <c r="I152" s="6" t="n"/>
      <c r="J152" s="64" t="n"/>
      <c r="K152" s="5" t="n"/>
      <c r="L152" s="6" t="n"/>
      <c r="M152" s="64" t="n"/>
      <c r="N152" s="5" t="n"/>
      <c r="O152" s="5" t="n"/>
      <c r="P152" s="5" t="n"/>
      <c r="Q152" s="6" t="n"/>
      <c r="R152" s="64" t="n"/>
      <c r="S152" s="5" t="n"/>
      <c r="T152" s="5" t="n"/>
      <c r="U152" s="5" t="n"/>
      <c r="V152" s="5" t="n"/>
      <c r="W152" s="5" t="n"/>
      <c r="X152" s="6" t="n"/>
      <c r="Y152" s="64" t="n"/>
      <c r="Z152" s="5" t="n"/>
      <c r="AA152" s="5" t="n"/>
      <c r="AB152" s="5" t="n"/>
      <c r="AC152" s="5" t="n"/>
      <c r="AD152" s="6" t="n"/>
      <c r="AE152" s="65" t="n"/>
      <c r="AF152" s="6" t="n"/>
      <c r="AG152" s="65" t="n"/>
      <c r="AH152" s="6" t="n"/>
      <c r="AI152" s="65" t="n"/>
      <c r="AJ152" s="6" t="n"/>
      <c r="AK152" s="65" t="n"/>
      <c r="AL152" s="6" t="n"/>
      <c r="AM152" s="65" t="n"/>
      <c r="AN152" s="5" t="n"/>
      <c r="AO152" s="6" t="n"/>
      <c r="AP152" s="65" t="n"/>
      <c r="AQ152" s="6" t="n"/>
      <c r="AR152" s="64" t="n"/>
      <c r="AS152" s="5" t="n"/>
      <c r="AT152" s="6" t="n"/>
      <c r="AU152" s="65" t="n"/>
      <c r="AV152" s="6" t="n"/>
      <c r="AW152" s="65" t="n"/>
      <c r="AX152" s="6" t="n"/>
      <c r="AY152" s="65" t="n"/>
      <c r="AZ152" s="6" t="n"/>
      <c r="BA152" s="65" t="n"/>
      <c r="BB152" s="5" t="n"/>
      <c r="BC152" s="6" t="n"/>
      <c r="BD152" s="65" t="n"/>
      <c r="BE152" s="6" t="n"/>
      <c r="BF152" s="64" t="n"/>
      <c r="BG152" s="5" t="n"/>
      <c r="BH152" s="6" t="n"/>
      <c r="BI152" s="66" t="n"/>
      <c r="BJ152" s="5" t="n"/>
      <c r="BK152" s="40" t="n"/>
    </row>
    <row r="153" ht="20" customHeight="1">
      <c r="A153" s="59" t="n"/>
      <c r="B153" s="6" t="n"/>
      <c r="C153" s="60" t="n"/>
      <c r="D153" s="5" t="n"/>
      <c r="E153" s="5" t="n"/>
      <c r="F153" s="6" t="n"/>
      <c r="G153" s="60" t="n"/>
      <c r="H153" s="5" t="n"/>
      <c r="I153" s="6" t="n"/>
      <c r="J153" s="60" t="n"/>
      <c r="K153" s="5" t="n"/>
      <c r="L153" s="6" t="n"/>
      <c r="M153" s="60" t="n"/>
      <c r="N153" s="5" t="n"/>
      <c r="O153" s="5" t="n"/>
      <c r="P153" s="5" t="n"/>
      <c r="Q153" s="6" t="n"/>
      <c r="R153" s="60" t="n"/>
      <c r="S153" s="5" t="n"/>
      <c r="T153" s="5" t="n"/>
      <c r="U153" s="5" t="n"/>
      <c r="V153" s="5" t="n"/>
      <c r="W153" s="5" t="n"/>
      <c r="X153" s="6" t="n"/>
      <c r="Y153" s="60" t="n"/>
      <c r="Z153" s="5" t="n"/>
      <c r="AA153" s="5" t="n"/>
      <c r="AB153" s="5" t="n"/>
      <c r="AC153" s="5" t="n"/>
      <c r="AD153" s="6" t="n"/>
      <c r="AE153" s="61" t="n"/>
      <c r="AF153" s="6" t="n"/>
      <c r="AG153" s="61" t="n"/>
      <c r="AH153" s="6" t="n"/>
      <c r="AI153" s="61" t="n"/>
      <c r="AJ153" s="6" t="n"/>
      <c r="AK153" s="61" t="n"/>
      <c r="AL153" s="6" t="n"/>
      <c r="AM153" s="61" t="n"/>
      <c r="AN153" s="5" t="n"/>
      <c r="AO153" s="6" t="n"/>
      <c r="AP153" s="61" t="n"/>
      <c r="AQ153" s="6" t="n"/>
      <c r="AR153" s="60" t="n"/>
      <c r="AS153" s="5" t="n"/>
      <c r="AT153" s="6" t="n"/>
      <c r="AU153" s="61" t="n"/>
      <c r="AV153" s="6" t="n"/>
      <c r="AW153" s="61" t="n"/>
      <c r="AX153" s="6" t="n"/>
      <c r="AY153" s="61" t="n"/>
      <c r="AZ153" s="6" t="n"/>
      <c r="BA153" s="61" t="n"/>
      <c r="BB153" s="5" t="n"/>
      <c r="BC153" s="6" t="n"/>
      <c r="BD153" s="61" t="n"/>
      <c r="BE153" s="6" t="n"/>
      <c r="BF153" s="60" t="n"/>
      <c r="BG153" s="5" t="n"/>
      <c r="BH153" s="6" t="n"/>
      <c r="BI153" s="62" t="n"/>
      <c r="BJ153" s="5" t="n"/>
      <c r="BK153" s="40" t="n"/>
    </row>
    <row r="154" ht="20" customHeight="1">
      <c r="A154" s="63" t="n"/>
      <c r="B154" s="6" t="n"/>
      <c r="C154" s="64" t="n"/>
      <c r="D154" s="5" t="n"/>
      <c r="E154" s="5" t="n"/>
      <c r="F154" s="6" t="n"/>
      <c r="G154" s="64" t="n"/>
      <c r="H154" s="5" t="n"/>
      <c r="I154" s="6" t="n"/>
      <c r="J154" s="64" t="n"/>
      <c r="K154" s="5" t="n"/>
      <c r="L154" s="6" t="n"/>
      <c r="M154" s="64" t="n"/>
      <c r="N154" s="5" t="n"/>
      <c r="O154" s="5" t="n"/>
      <c r="P154" s="5" t="n"/>
      <c r="Q154" s="6" t="n"/>
      <c r="R154" s="64" t="n"/>
      <c r="S154" s="5" t="n"/>
      <c r="T154" s="5" t="n"/>
      <c r="U154" s="5" t="n"/>
      <c r="V154" s="5" t="n"/>
      <c r="W154" s="5" t="n"/>
      <c r="X154" s="6" t="n"/>
      <c r="Y154" s="64" t="n"/>
      <c r="Z154" s="5" t="n"/>
      <c r="AA154" s="5" t="n"/>
      <c r="AB154" s="5" t="n"/>
      <c r="AC154" s="5" t="n"/>
      <c r="AD154" s="6" t="n"/>
      <c r="AE154" s="65" t="n"/>
      <c r="AF154" s="6" t="n"/>
      <c r="AG154" s="65" t="n"/>
      <c r="AH154" s="6" t="n"/>
      <c r="AI154" s="65" t="n"/>
      <c r="AJ154" s="6" t="n"/>
      <c r="AK154" s="65" t="n"/>
      <c r="AL154" s="6" t="n"/>
      <c r="AM154" s="65" t="n"/>
      <c r="AN154" s="5" t="n"/>
      <c r="AO154" s="6" t="n"/>
      <c r="AP154" s="65" t="n"/>
      <c r="AQ154" s="6" t="n"/>
      <c r="AR154" s="64" t="n"/>
      <c r="AS154" s="5" t="n"/>
      <c r="AT154" s="6" t="n"/>
      <c r="AU154" s="65" t="n"/>
      <c r="AV154" s="6" t="n"/>
      <c r="AW154" s="65" t="n"/>
      <c r="AX154" s="6" t="n"/>
      <c r="AY154" s="65" t="n"/>
      <c r="AZ154" s="6" t="n"/>
      <c r="BA154" s="65" t="n"/>
      <c r="BB154" s="5" t="n"/>
      <c r="BC154" s="6" t="n"/>
      <c r="BD154" s="65" t="n"/>
      <c r="BE154" s="6" t="n"/>
      <c r="BF154" s="64" t="n"/>
      <c r="BG154" s="5" t="n"/>
      <c r="BH154" s="6" t="n"/>
      <c r="BI154" s="66" t="n"/>
      <c r="BJ154" s="5" t="n"/>
      <c r="BK154" s="40" t="n"/>
    </row>
    <row r="155" ht="20" customHeight="1">
      <c r="A155" s="59" t="n"/>
      <c r="B155" s="6" t="n"/>
      <c r="C155" s="60" t="n"/>
      <c r="D155" s="5" t="n"/>
      <c r="E155" s="5" t="n"/>
      <c r="F155" s="6" t="n"/>
      <c r="G155" s="60" t="n"/>
      <c r="H155" s="5" t="n"/>
      <c r="I155" s="6" t="n"/>
      <c r="J155" s="60" t="n"/>
      <c r="K155" s="5" t="n"/>
      <c r="L155" s="6" t="n"/>
      <c r="M155" s="60" t="n"/>
      <c r="N155" s="5" t="n"/>
      <c r="O155" s="5" t="n"/>
      <c r="P155" s="5" t="n"/>
      <c r="Q155" s="6" t="n"/>
      <c r="R155" s="60" t="n"/>
      <c r="S155" s="5" t="n"/>
      <c r="T155" s="5" t="n"/>
      <c r="U155" s="5" t="n"/>
      <c r="V155" s="5" t="n"/>
      <c r="W155" s="5" t="n"/>
      <c r="X155" s="6" t="n"/>
      <c r="Y155" s="60" t="n"/>
      <c r="Z155" s="5" t="n"/>
      <c r="AA155" s="5" t="n"/>
      <c r="AB155" s="5" t="n"/>
      <c r="AC155" s="5" t="n"/>
      <c r="AD155" s="6" t="n"/>
      <c r="AE155" s="61" t="n"/>
      <c r="AF155" s="6" t="n"/>
      <c r="AG155" s="61" t="n"/>
      <c r="AH155" s="6" t="n"/>
      <c r="AI155" s="61" t="n"/>
      <c r="AJ155" s="6" t="n"/>
      <c r="AK155" s="61" t="n"/>
      <c r="AL155" s="6" t="n"/>
      <c r="AM155" s="61" t="n"/>
      <c r="AN155" s="5" t="n"/>
      <c r="AO155" s="6" t="n"/>
      <c r="AP155" s="61" t="n"/>
      <c r="AQ155" s="6" t="n"/>
      <c r="AR155" s="60" t="n"/>
      <c r="AS155" s="5" t="n"/>
      <c r="AT155" s="6" t="n"/>
      <c r="AU155" s="61" t="n"/>
      <c r="AV155" s="6" t="n"/>
      <c r="AW155" s="61" t="n"/>
      <c r="AX155" s="6" t="n"/>
      <c r="AY155" s="61" t="n"/>
      <c r="AZ155" s="6" t="n"/>
      <c r="BA155" s="61" t="n"/>
      <c r="BB155" s="5" t="n"/>
      <c r="BC155" s="6" t="n"/>
      <c r="BD155" s="61" t="n"/>
      <c r="BE155" s="6" t="n"/>
      <c r="BF155" s="60" t="n"/>
      <c r="BG155" s="5" t="n"/>
      <c r="BH155" s="6" t="n"/>
      <c r="BI155" s="62" t="n"/>
      <c r="BJ155" s="5" t="n"/>
      <c r="BK155" s="40" t="n"/>
    </row>
    <row r="156" ht="20" customHeight="1">
      <c r="A156" s="63" t="n"/>
      <c r="B156" s="6" t="n"/>
      <c r="C156" s="64" t="n"/>
      <c r="D156" s="5" t="n"/>
      <c r="E156" s="5" t="n"/>
      <c r="F156" s="6" t="n"/>
      <c r="G156" s="64" t="n"/>
      <c r="H156" s="5" t="n"/>
      <c r="I156" s="6" t="n"/>
      <c r="J156" s="64" t="n"/>
      <c r="K156" s="5" t="n"/>
      <c r="L156" s="6" t="n"/>
      <c r="M156" s="64" t="n"/>
      <c r="N156" s="5" t="n"/>
      <c r="O156" s="5" t="n"/>
      <c r="P156" s="5" t="n"/>
      <c r="Q156" s="6" t="n"/>
      <c r="R156" s="64" t="n"/>
      <c r="S156" s="5" t="n"/>
      <c r="T156" s="5" t="n"/>
      <c r="U156" s="5" t="n"/>
      <c r="V156" s="5" t="n"/>
      <c r="W156" s="5" t="n"/>
      <c r="X156" s="6" t="n"/>
      <c r="Y156" s="64" t="n"/>
      <c r="Z156" s="5" t="n"/>
      <c r="AA156" s="5" t="n"/>
      <c r="AB156" s="5" t="n"/>
      <c r="AC156" s="5" t="n"/>
      <c r="AD156" s="6" t="n"/>
      <c r="AE156" s="65" t="n"/>
      <c r="AF156" s="6" t="n"/>
      <c r="AG156" s="65" t="n"/>
      <c r="AH156" s="6" t="n"/>
      <c r="AI156" s="65" t="n"/>
      <c r="AJ156" s="6" t="n"/>
      <c r="AK156" s="65" t="n"/>
      <c r="AL156" s="6" t="n"/>
      <c r="AM156" s="65" t="n"/>
      <c r="AN156" s="5" t="n"/>
      <c r="AO156" s="6" t="n"/>
      <c r="AP156" s="65" t="n"/>
      <c r="AQ156" s="6" t="n"/>
      <c r="AR156" s="64" t="n"/>
      <c r="AS156" s="5" t="n"/>
      <c r="AT156" s="6" t="n"/>
      <c r="AU156" s="65" t="n"/>
      <c r="AV156" s="6" t="n"/>
      <c r="AW156" s="65" t="n"/>
      <c r="AX156" s="6" t="n"/>
      <c r="AY156" s="65" t="n"/>
      <c r="AZ156" s="6" t="n"/>
      <c r="BA156" s="65" t="n"/>
      <c r="BB156" s="5" t="n"/>
      <c r="BC156" s="6" t="n"/>
      <c r="BD156" s="65" t="n"/>
      <c r="BE156" s="6" t="n"/>
      <c r="BF156" s="64" t="n"/>
      <c r="BG156" s="5" t="n"/>
      <c r="BH156" s="6" t="n"/>
      <c r="BI156" s="66" t="n"/>
      <c r="BJ156" s="5" t="n"/>
      <c r="BK156" s="40" t="n"/>
    </row>
    <row r="157" ht="20" customHeight="1">
      <c r="A157" s="59" t="n"/>
      <c r="B157" s="6" t="n"/>
      <c r="C157" s="60" t="n"/>
      <c r="D157" s="5" t="n"/>
      <c r="E157" s="5" t="n"/>
      <c r="F157" s="6" t="n"/>
      <c r="G157" s="60" t="n"/>
      <c r="H157" s="5" t="n"/>
      <c r="I157" s="6" t="n"/>
      <c r="J157" s="60" t="n"/>
      <c r="K157" s="5" t="n"/>
      <c r="L157" s="6" t="n"/>
      <c r="M157" s="60" t="n"/>
      <c r="N157" s="5" t="n"/>
      <c r="O157" s="5" t="n"/>
      <c r="P157" s="5" t="n"/>
      <c r="Q157" s="6" t="n"/>
      <c r="R157" s="60" t="n"/>
      <c r="S157" s="5" t="n"/>
      <c r="T157" s="5" t="n"/>
      <c r="U157" s="5" t="n"/>
      <c r="V157" s="5" t="n"/>
      <c r="W157" s="5" t="n"/>
      <c r="X157" s="6" t="n"/>
      <c r="Y157" s="60" t="n"/>
      <c r="Z157" s="5" t="n"/>
      <c r="AA157" s="5" t="n"/>
      <c r="AB157" s="5" t="n"/>
      <c r="AC157" s="5" t="n"/>
      <c r="AD157" s="6" t="n"/>
      <c r="AE157" s="61" t="n"/>
      <c r="AF157" s="6" t="n"/>
      <c r="AG157" s="61" t="n"/>
      <c r="AH157" s="6" t="n"/>
      <c r="AI157" s="61" t="n"/>
      <c r="AJ157" s="6" t="n"/>
      <c r="AK157" s="61" t="n"/>
      <c r="AL157" s="6" t="n"/>
      <c r="AM157" s="61" t="n"/>
      <c r="AN157" s="5" t="n"/>
      <c r="AO157" s="6" t="n"/>
      <c r="AP157" s="61" t="n"/>
      <c r="AQ157" s="6" t="n"/>
      <c r="AR157" s="60" t="n"/>
      <c r="AS157" s="5" t="n"/>
      <c r="AT157" s="6" t="n"/>
      <c r="AU157" s="61" t="n"/>
      <c r="AV157" s="6" t="n"/>
      <c r="AW157" s="61" t="n"/>
      <c r="AX157" s="6" t="n"/>
      <c r="AY157" s="61" t="n"/>
      <c r="AZ157" s="6" t="n"/>
      <c r="BA157" s="61" t="n"/>
      <c r="BB157" s="5" t="n"/>
      <c r="BC157" s="6" t="n"/>
      <c r="BD157" s="61" t="n"/>
      <c r="BE157" s="6" t="n"/>
      <c r="BF157" s="60" t="n"/>
      <c r="BG157" s="5" t="n"/>
      <c r="BH157" s="6" t="n"/>
      <c r="BI157" s="62" t="n"/>
      <c r="BJ157" s="5" t="n"/>
      <c r="BK157" s="40" t="n"/>
    </row>
    <row r="158" ht="20" customHeight="1">
      <c r="A158" s="63" t="n"/>
      <c r="B158" s="6" t="n"/>
      <c r="C158" s="64" t="n"/>
      <c r="D158" s="5" t="n"/>
      <c r="E158" s="5" t="n"/>
      <c r="F158" s="6" t="n"/>
      <c r="G158" s="64" t="n"/>
      <c r="H158" s="5" t="n"/>
      <c r="I158" s="6" t="n"/>
      <c r="J158" s="64" t="n"/>
      <c r="K158" s="5" t="n"/>
      <c r="L158" s="6" t="n"/>
      <c r="M158" s="64" t="n"/>
      <c r="N158" s="5" t="n"/>
      <c r="O158" s="5" t="n"/>
      <c r="P158" s="5" t="n"/>
      <c r="Q158" s="6" t="n"/>
      <c r="R158" s="64" t="n"/>
      <c r="S158" s="5" t="n"/>
      <c r="T158" s="5" t="n"/>
      <c r="U158" s="5" t="n"/>
      <c r="V158" s="5" t="n"/>
      <c r="W158" s="5" t="n"/>
      <c r="X158" s="6" t="n"/>
      <c r="Y158" s="64" t="n"/>
      <c r="Z158" s="5" t="n"/>
      <c r="AA158" s="5" t="n"/>
      <c r="AB158" s="5" t="n"/>
      <c r="AC158" s="5" t="n"/>
      <c r="AD158" s="6" t="n"/>
      <c r="AE158" s="65" t="n"/>
      <c r="AF158" s="6" t="n"/>
      <c r="AG158" s="65" t="n"/>
      <c r="AH158" s="6" t="n"/>
      <c r="AI158" s="65" t="n"/>
      <c r="AJ158" s="6" t="n"/>
      <c r="AK158" s="65" t="n"/>
      <c r="AL158" s="6" t="n"/>
      <c r="AM158" s="65" t="n"/>
      <c r="AN158" s="5" t="n"/>
      <c r="AO158" s="6" t="n"/>
      <c r="AP158" s="65" t="n"/>
      <c r="AQ158" s="6" t="n"/>
      <c r="AR158" s="64" t="n"/>
      <c r="AS158" s="5" t="n"/>
      <c r="AT158" s="6" t="n"/>
      <c r="AU158" s="65" t="n"/>
      <c r="AV158" s="6" t="n"/>
      <c r="AW158" s="65" t="n"/>
      <c r="AX158" s="6" t="n"/>
      <c r="AY158" s="65" t="n"/>
      <c r="AZ158" s="6" t="n"/>
      <c r="BA158" s="65" t="n"/>
      <c r="BB158" s="5" t="n"/>
      <c r="BC158" s="6" t="n"/>
      <c r="BD158" s="65" t="n"/>
      <c r="BE158" s="6" t="n"/>
      <c r="BF158" s="64" t="n"/>
      <c r="BG158" s="5" t="n"/>
      <c r="BH158" s="6" t="n"/>
      <c r="BI158" s="66" t="n"/>
      <c r="BJ158" s="5" t="n"/>
      <c r="BK158" s="40" t="n"/>
    </row>
    <row r="159" ht="20" customHeight="1">
      <c r="A159" s="59" t="n"/>
      <c r="B159" s="6" t="n"/>
      <c r="C159" s="60" t="n"/>
      <c r="D159" s="5" t="n"/>
      <c r="E159" s="5" t="n"/>
      <c r="F159" s="6" t="n"/>
      <c r="G159" s="60" t="n"/>
      <c r="H159" s="5" t="n"/>
      <c r="I159" s="6" t="n"/>
      <c r="J159" s="60" t="n"/>
      <c r="K159" s="5" t="n"/>
      <c r="L159" s="6" t="n"/>
      <c r="M159" s="60" t="n"/>
      <c r="N159" s="5" t="n"/>
      <c r="O159" s="5" t="n"/>
      <c r="P159" s="5" t="n"/>
      <c r="Q159" s="6" t="n"/>
      <c r="R159" s="60" t="n"/>
      <c r="S159" s="5" t="n"/>
      <c r="T159" s="5" t="n"/>
      <c r="U159" s="5" t="n"/>
      <c r="V159" s="5" t="n"/>
      <c r="W159" s="5" t="n"/>
      <c r="X159" s="6" t="n"/>
      <c r="Y159" s="60" t="n"/>
      <c r="Z159" s="5" t="n"/>
      <c r="AA159" s="5" t="n"/>
      <c r="AB159" s="5" t="n"/>
      <c r="AC159" s="5" t="n"/>
      <c r="AD159" s="6" t="n"/>
      <c r="AE159" s="61" t="n"/>
      <c r="AF159" s="6" t="n"/>
      <c r="AG159" s="61" t="n"/>
      <c r="AH159" s="6" t="n"/>
      <c r="AI159" s="61" t="n"/>
      <c r="AJ159" s="6" t="n"/>
      <c r="AK159" s="61" t="n"/>
      <c r="AL159" s="6" t="n"/>
      <c r="AM159" s="61" t="n"/>
      <c r="AN159" s="5" t="n"/>
      <c r="AO159" s="6" t="n"/>
      <c r="AP159" s="61" t="n"/>
      <c r="AQ159" s="6" t="n"/>
      <c r="AR159" s="60" t="n"/>
      <c r="AS159" s="5" t="n"/>
      <c r="AT159" s="6" t="n"/>
      <c r="AU159" s="61" t="n"/>
      <c r="AV159" s="6" t="n"/>
      <c r="AW159" s="61" t="n"/>
      <c r="AX159" s="6" t="n"/>
      <c r="AY159" s="61" t="n"/>
      <c r="AZ159" s="6" t="n"/>
      <c r="BA159" s="61" t="n"/>
      <c r="BB159" s="5" t="n"/>
      <c r="BC159" s="6" t="n"/>
      <c r="BD159" s="61" t="n"/>
      <c r="BE159" s="6" t="n"/>
      <c r="BF159" s="60" t="n"/>
      <c r="BG159" s="5" t="n"/>
      <c r="BH159" s="6" t="n"/>
      <c r="BI159" s="62" t="n"/>
      <c r="BJ159" s="5" t="n"/>
      <c r="BK159" s="40" t="n"/>
    </row>
    <row r="160" ht="20" customHeight="1">
      <c r="A160" s="63" t="n"/>
      <c r="B160" s="6" t="n"/>
      <c r="C160" s="64" t="n"/>
      <c r="D160" s="5" t="n"/>
      <c r="E160" s="5" t="n"/>
      <c r="F160" s="6" t="n"/>
      <c r="G160" s="64" t="n"/>
      <c r="H160" s="5" t="n"/>
      <c r="I160" s="6" t="n"/>
      <c r="J160" s="64" t="n"/>
      <c r="K160" s="5" t="n"/>
      <c r="L160" s="6" t="n"/>
      <c r="M160" s="64" t="n"/>
      <c r="N160" s="5" t="n"/>
      <c r="O160" s="5" t="n"/>
      <c r="P160" s="5" t="n"/>
      <c r="Q160" s="6" t="n"/>
      <c r="R160" s="64" t="n"/>
      <c r="S160" s="5" t="n"/>
      <c r="T160" s="5" t="n"/>
      <c r="U160" s="5" t="n"/>
      <c r="V160" s="5" t="n"/>
      <c r="W160" s="5" t="n"/>
      <c r="X160" s="6" t="n"/>
      <c r="Y160" s="64" t="n"/>
      <c r="Z160" s="5" t="n"/>
      <c r="AA160" s="5" t="n"/>
      <c r="AB160" s="5" t="n"/>
      <c r="AC160" s="5" t="n"/>
      <c r="AD160" s="6" t="n"/>
      <c r="AE160" s="65" t="n"/>
      <c r="AF160" s="6" t="n"/>
      <c r="AG160" s="65" t="n"/>
      <c r="AH160" s="6" t="n"/>
      <c r="AI160" s="65" t="n"/>
      <c r="AJ160" s="6" t="n"/>
      <c r="AK160" s="65" t="n"/>
      <c r="AL160" s="6" t="n"/>
      <c r="AM160" s="65" t="n"/>
      <c r="AN160" s="5" t="n"/>
      <c r="AO160" s="6" t="n"/>
      <c r="AP160" s="65" t="n"/>
      <c r="AQ160" s="6" t="n"/>
      <c r="AR160" s="64" t="n"/>
      <c r="AS160" s="5" t="n"/>
      <c r="AT160" s="6" t="n"/>
      <c r="AU160" s="65" t="n"/>
      <c r="AV160" s="6" t="n"/>
      <c r="AW160" s="65" t="n"/>
      <c r="AX160" s="6" t="n"/>
      <c r="AY160" s="65" t="n"/>
      <c r="AZ160" s="6" t="n"/>
      <c r="BA160" s="65" t="n"/>
      <c r="BB160" s="5" t="n"/>
      <c r="BC160" s="6" t="n"/>
      <c r="BD160" s="65" t="n"/>
      <c r="BE160" s="6" t="n"/>
      <c r="BF160" s="64" t="n"/>
      <c r="BG160" s="5" t="n"/>
      <c r="BH160" s="6" t="n"/>
      <c r="BI160" s="66" t="n"/>
      <c r="BJ160" s="5" t="n"/>
      <c r="BK160" s="40" t="n"/>
    </row>
    <row r="161" ht="20" customHeight="1">
      <c r="A161" s="59" t="n"/>
      <c r="B161" s="6" t="n"/>
      <c r="C161" s="60" t="n"/>
      <c r="D161" s="5" t="n"/>
      <c r="E161" s="5" t="n"/>
      <c r="F161" s="6" t="n"/>
      <c r="G161" s="60" t="n"/>
      <c r="H161" s="5" t="n"/>
      <c r="I161" s="6" t="n"/>
      <c r="J161" s="60" t="n"/>
      <c r="K161" s="5" t="n"/>
      <c r="L161" s="6" t="n"/>
      <c r="M161" s="60" t="n"/>
      <c r="N161" s="5" t="n"/>
      <c r="O161" s="5" t="n"/>
      <c r="P161" s="5" t="n"/>
      <c r="Q161" s="6" t="n"/>
      <c r="R161" s="60" t="n"/>
      <c r="S161" s="5" t="n"/>
      <c r="T161" s="5" t="n"/>
      <c r="U161" s="5" t="n"/>
      <c r="V161" s="5" t="n"/>
      <c r="W161" s="5" t="n"/>
      <c r="X161" s="6" t="n"/>
      <c r="Y161" s="60" t="n"/>
      <c r="Z161" s="5" t="n"/>
      <c r="AA161" s="5" t="n"/>
      <c r="AB161" s="5" t="n"/>
      <c r="AC161" s="5" t="n"/>
      <c r="AD161" s="6" t="n"/>
      <c r="AE161" s="61" t="n"/>
      <c r="AF161" s="6" t="n"/>
      <c r="AG161" s="61" t="n"/>
      <c r="AH161" s="6" t="n"/>
      <c r="AI161" s="61" t="n"/>
      <c r="AJ161" s="6" t="n"/>
      <c r="AK161" s="61" t="n"/>
      <c r="AL161" s="6" t="n"/>
      <c r="AM161" s="61" t="n"/>
      <c r="AN161" s="5" t="n"/>
      <c r="AO161" s="6" t="n"/>
      <c r="AP161" s="61" t="n"/>
      <c r="AQ161" s="6" t="n"/>
      <c r="AR161" s="60" t="n"/>
      <c r="AS161" s="5" t="n"/>
      <c r="AT161" s="6" t="n"/>
      <c r="AU161" s="61" t="n"/>
      <c r="AV161" s="6" t="n"/>
      <c r="AW161" s="61" t="n"/>
      <c r="AX161" s="6" t="n"/>
      <c r="AY161" s="61" t="n"/>
      <c r="AZ161" s="6" t="n"/>
      <c r="BA161" s="61" t="n"/>
      <c r="BB161" s="5" t="n"/>
      <c r="BC161" s="6" t="n"/>
      <c r="BD161" s="61" t="n"/>
      <c r="BE161" s="6" t="n"/>
      <c r="BF161" s="60" t="n"/>
      <c r="BG161" s="5" t="n"/>
      <c r="BH161" s="6" t="n"/>
      <c r="BI161" s="62" t="n"/>
      <c r="BJ161" s="5" t="n"/>
      <c r="BK161" s="40" t="n"/>
    </row>
    <row r="162" ht="20" customHeight="1">
      <c r="A162" s="63" t="n"/>
      <c r="B162" s="6" t="n"/>
      <c r="C162" s="64" t="n"/>
      <c r="D162" s="5" t="n"/>
      <c r="E162" s="5" t="n"/>
      <c r="F162" s="6" t="n"/>
      <c r="G162" s="64" t="n"/>
      <c r="H162" s="5" t="n"/>
      <c r="I162" s="6" t="n"/>
      <c r="J162" s="64" t="n"/>
      <c r="K162" s="5" t="n"/>
      <c r="L162" s="6" t="n"/>
      <c r="M162" s="64" t="n"/>
      <c r="N162" s="5" t="n"/>
      <c r="O162" s="5" t="n"/>
      <c r="P162" s="5" t="n"/>
      <c r="Q162" s="6" t="n"/>
      <c r="R162" s="64" t="n"/>
      <c r="S162" s="5" t="n"/>
      <c r="T162" s="5" t="n"/>
      <c r="U162" s="5" t="n"/>
      <c r="V162" s="5" t="n"/>
      <c r="W162" s="5" t="n"/>
      <c r="X162" s="6" t="n"/>
      <c r="Y162" s="64" t="n"/>
      <c r="Z162" s="5" t="n"/>
      <c r="AA162" s="5" t="n"/>
      <c r="AB162" s="5" t="n"/>
      <c r="AC162" s="5" t="n"/>
      <c r="AD162" s="6" t="n"/>
      <c r="AE162" s="65" t="n"/>
      <c r="AF162" s="6" t="n"/>
      <c r="AG162" s="65" t="n"/>
      <c r="AH162" s="6" t="n"/>
      <c r="AI162" s="65" t="n"/>
      <c r="AJ162" s="6" t="n"/>
      <c r="AK162" s="65" t="n"/>
      <c r="AL162" s="6" t="n"/>
      <c r="AM162" s="65" t="n"/>
      <c r="AN162" s="5" t="n"/>
      <c r="AO162" s="6" t="n"/>
      <c r="AP162" s="65" t="n"/>
      <c r="AQ162" s="6" t="n"/>
      <c r="AR162" s="64" t="n"/>
      <c r="AS162" s="5" t="n"/>
      <c r="AT162" s="6" t="n"/>
      <c r="AU162" s="65" t="n"/>
      <c r="AV162" s="6" t="n"/>
      <c r="AW162" s="65" t="n"/>
      <c r="AX162" s="6" t="n"/>
      <c r="AY162" s="65" t="n"/>
      <c r="AZ162" s="6" t="n"/>
      <c r="BA162" s="65" t="n"/>
      <c r="BB162" s="5" t="n"/>
      <c r="BC162" s="6" t="n"/>
      <c r="BD162" s="65" t="n"/>
      <c r="BE162" s="6" t="n"/>
      <c r="BF162" s="64" t="n"/>
      <c r="BG162" s="5" t="n"/>
      <c r="BH162" s="6" t="n"/>
      <c r="BI162" s="66" t="n"/>
      <c r="BJ162" s="5" t="n"/>
      <c r="BK162" s="40" t="n"/>
    </row>
    <row r="163" ht="20" customHeight="1">
      <c r="A163" s="59" t="n"/>
      <c r="B163" s="6" t="n"/>
      <c r="C163" s="60" t="n"/>
      <c r="D163" s="5" t="n"/>
      <c r="E163" s="5" t="n"/>
      <c r="F163" s="6" t="n"/>
      <c r="G163" s="60" t="n"/>
      <c r="H163" s="5" t="n"/>
      <c r="I163" s="6" t="n"/>
      <c r="J163" s="60" t="n"/>
      <c r="K163" s="5" t="n"/>
      <c r="L163" s="6" t="n"/>
      <c r="M163" s="60" t="n"/>
      <c r="N163" s="5" t="n"/>
      <c r="O163" s="5" t="n"/>
      <c r="P163" s="5" t="n"/>
      <c r="Q163" s="6" t="n"/>
      <c r="R163" s="60" t="n"/>
      <c r="S163" s="5" t="n"/>
      <c r="T163" s="5" t="n"/>
      <c r="U163" s="5" t="n"/>
      <c r="V163" s="5" t="n"/>
      <c r="W163" s="5" t="n"/>
      <c r="X163" s="6" t="n"/>
      <c r="Y163" s="60" t="n"/>
      <c r="Z163" s="5" t="n"/>
      <c r="AA163" s="5" t="n"/>
      <c r="AB163" s="5" t="n"/>
      <c r="AC163" s="5" t="n"/>
      <c r="AD163" s="6" t="n"/>
      <c r="AE163" s="61" t="n"/>
      <c r="AF163" s="6" t="n"/>
      <c r="AG163" s="61" t="n"/>
      <c r="AH163" s="6" t="n"/>
      <c r="AI163" s="61" t="n"/>
      <c r="AJ163" s="6" t="n"/>
      <c r="AK163" s="61" t="n"/>
      <c r="AL163" s="6" t="n"/>
      <c r="AM163" s="61" t="n"/>
      <c r="AN163" s="5" t="n"/>
      <c r="AO163" s="6" t="n"/>
      <c r="AP163" s="61" t="n"/>
      <c r="AQ163" s="6" t="n"/>
      <c r="AR163" s="60" t="n"/>
      <c r="AS163" s="5" t="n"/>
      <c r="AT163" s="6" t="n"/>
      <c r="AU163" s="61" t="n"/>
      <c r="AV163" s="6" t="n"/>
      <c r="AW163" s="61" t="n"/>
      <c r="AX163" s="6" t="n"/>
      <c r="AY163" s="61" t="n"/>
      <c r="AZ163" s="6" t="n"/>
      <c r="BA163" s="61" t="n"/>
      <c r="BB163" s="5" t="n"/>
      <c r="BC163" s="6" t="n"/>
      <c r="BD163" s="61" t="n"/>
      <c r="BE163" s="6" t="n"/>
      <c r="BF163" s="60" t="n"/>
      <c r="BG163" s="5" t="n"/>
      <c r="BH163" s="6" t="n"/>
      <c r="BI163" s="62" t="n"/>
      <c r="BJ163" s="5" t="n"/>
      <c r="BK163" s="40" t="n"/>
    </row>
    <row r="164" ht="20" customHeight="1">
      <c r="A164" s="63" t="n"/>
      <c r="B164" s="6" t="n"/>
      <c r="C164" s="64" t="n"/>
      <c r="D164" s="5" t="n"/>
      <c r="E164" s="5" t="n"/>
      <c r="F164" s="6" t="n"/>
      <c r="G164" s="64" t="n"/>
      <c r="H164" s="5" t="n"/>
      <c r="I164" s="6" t="n"/>
      <c r="J164" s="64" t="n"/>
      <c r="K164" s="5" t="n"/>
      <c r="L164" s="6" t="n"/>
      <c r="M164" s="64" t="n"/>
      <c r="N164" s="5" t="n"/>
      <c r="O164" s="5" t="n"/>
      <c r="P164" s="5" t="n"/>
      <c r="Q164" s="6" t="n"/>
      <c r="R164" s="64" t="n"/>
      <c r="S164" s="5" t="n"/>
      <c r="T164" s="5" t="n"/>
      <c r="U164" s="5" t="n"/>
      <c r="V164" s="5" t="n"/>
      <c r="W164" s="5" t="n"/>
      <c r="X164" s="6" t="n"/>
      <c r="Y164" s="64" t="n"/>
      <c r="Z164" s="5" t="n"/>
      <c r="AA164" s="5" t="n"/>
      <c r="AB164" s="5" t="n"/>
      <c r="AC164" s="5" t="n"/>
      <c r="AD164" s="6" t="n"/>
      <c r="AE164" s="65" t="n"/>
      <c r="AF164" s="6" t="n"/>
      <c r="AG164" s="65" t="n"/>
      <c r="AH164" s="6" t="n"/>
      <c r="AI164" s="65" t="n"/>
      <c r="AJ164" s="6" t="n"/>
      <c r="AK164" s="65" t="n"/>
      <c r="AL164" s="6" t="n"/>
      <c r="AM164" s="65" t="n"/>
      <c r="AN164" s="5" t="n"/>
      <c r="AO164" s="6" t="n"/>
      <c r="AP164" s="65" t="n"/>
      <c r="AQ164" s="6" t="n"/>
      <c r="AR164" s="64" t="n"/>
      <c r="AS164" s="5" t="n"/>
      <c r="AT164" s="6" t="n"/>
      <c r="AU164" s="65" t="n"/>
      <c r="AV164" s="6" t="n"/>
      <c r="AW164" s="65" t="n"/>
      <c r="AX164" s="6" t="n"/>
      <c r="AY164" s="65" t="n"/>
      <c r="AZ164" s="6" t="n"/>
      <c r="BA164" s="65" t="n"/>
      <c r="BB164" s="5" t="n"/>
      <c r="BC164" s="6" t="n"/>
      <c r="BD164" s="65" t="n"/>
      <c r="BE164" s="6" t="n"/>
      <c r="BF164" s="64" t="n"/>
      <c r="BG164" s="5" t="n"/>
      <c r="BH164" s="6" t="n"/>
      <c r="BI164" s="66" t="n"/>
      <c r="BJ164" s="5" t="n"/>
      <c r="BK164" s="40" t="n"/>
    </row>
    <row r="165" ht="20" customHeight="1">
      <c r="A165" s="59" t="n"/>
      <c r="B165" s="6" t="n"/>
      <c r="C165" s="60" t="n"/>
      <c r="D165" s="5" t="n"/>
      <c r="E165" s="5" t="n"/>
      <c r="F165" s="6" t="n"/>
      <c r="G165" s="60" t="n"/>
      <c r="H165" s="5" t="n"/>
      <c r="I165" s="6" t="n"/>
      <c r="J165" s="60" t="n"/>
      <c r="K165" s="5" t="n"/>
      <c r="L165" s="6" t="n"/>
      <c r="M165" s="60" t="n"/>
      <c r="N165" s="5" t="n"/>
      <c r="O165" s="5" t="n"/>
      <c r="P165" s="5" t="n"/>
      <c r="Q165" s="6" t="n"/>
      <c r="R165" s="60" t="n"/>
      <c r="S165" s="5" t="n"/>
      <c r="T165" s="5" t="n"/>
      <c r="U165" s="5" t="n"/>
      <c r="V165" s="5" t="n"/>
      <c r="W165" s="5" t="n"/>
      <c r="X165" s="6" t="n"/>
      <c r="Y165" s="60" t="n"/>
      <c r="Z165" s="5" t="n"/>
      <c r="AA165" s="5" t="n"/>
      <c r="AB165" s="5" t="n"/>
      <c r="AC165" s="5" t="n"/>
      <c r="AD165" s="6" t="n"/>
      <c r="AE165" s="61" t="n"/>
      <c r="AF165" s="6" t="n"/>
      <c r="AG165" s="61" t="n"/>
      <c r="AH165" s="6" t="n"/>
      <c r="AI165" s="61" t="n"/>
      <c r="AJ165" s="6" t="n"/>
      <c r="AK165" s="61" t="n"/>
      <c r="AL165" s="6" t="n"/>
      <c r="AM165" s="61" t="n"/>
      <c r="AN165" s="5" t="n"/>
      <c r="AO165" s="6" t="n"/>
      <c r="AP165" s="61" t="n"/>
      <c r="AQ165" s="6" t="n"/>
      <c r="AR165" s="60" t="n"/>
      <c r="AS165" s="5" t="n"/>
      <c r="AT165" s="6" t="n"/>
      <c r="AU165" s="61" t="n"/>
      <c r="AV165" s="6" t="n"/>
      <c r="AW165" s="61" t="n"/>
      <c r="AX165" s="6" t="n"/>
      <c r="AY165" s="61" t="n"/>
      <c r="AZ165" s="6" t="n"/>
      <c r="BA165" s="61" t="n"/>
      <c r="BB165" s="5" t="n"/>
      <c r="BC165" s="6" t="n"/>
      <c r="BD165" s="61" t="n"/>
      <c r="BE165" s="6" t="n"/>
      <c r="BF165" s="60" t="n"/>
      <c r="BG165" s="5" t="n"/>
      <c r="BH165" s="6" t="n"/>
      <c r="BI165" s="62" t="n"/>
      <c r="BJ165" s="5" t="n"/>
      <c r="BK165" s="40" t="n"/>
    </row>
    <row r="166" ht="20" customHeight="1">
      <c r="A166" s="63" t="n"/>
      <c r="B166" s="6" t="n"/>
      <c r="C166" s="64" t="n"/>
      <c r="D166" s="5" t="n"/>
      <c r="E166" s="5" t="n"/>
      <c r="F166" s="6" t="n"/>
      <c r="G166" s="64" t="n"/>
      <c r="H166" s="5" t="n"/>
      <c r="I166" s="6" t="n"/>
      <c r="J166" s="64" t="n"/>
      <c r="K166" s="5" t="n"/>
      <c r="L166" s="6" t="n"/>
      <c r="M166" s="64" t="n"/>
      <c r="N166" s="5" t="n"/>
      <c r="O166" s="5" t="n"/>
      <c r="P166" s="5" t="n"/>
      <c r="Q166" s="6" t="n"/>
      <c r="R166" s="64" t="n"/>
      <c r="S166" s="5" t="n"/>
      <c r="T166" s="5" t="n"/>
      <c r="U166" s="5" t="n"/>
      <c r="V166" s="5" t="n"/>
      <c r="W166" s="5" t="n"/>
      <c r="X166" s="6" t="n"/>
      <c r="Y166" s="64" t="n"/>
      <c r="Z166" s="5" t="n"/>
      <c r="AA166" s="5" t="n"/>
      <c r="AB166" s="5" t="n"/>
      <c r="AC166" s="5" t="n"/>
      <c r="AD166" s="6" t="n"/>
      <c r="AE166" s="65" t="n"/>
      <c r="AF166" s="6" t="n"/>
      <c r="AG166" s="65" t="n"/>
      <c r="AH166" s="6" t="n"/>
      <c r="AI166" s="65" t="n"/>
      <c r="AJ166" s="6" t="n"/>
      <c r="AK166" s="65" t="n"/>
      <c r="AL166" s="6" t="n"/>
      <c r="AM166" s="65" t="n"/>
      <c r="AN166" s="5" t="n"/>
      <c r="AO166" s="6" t="n"/>
      <c r="AP166" s="65" t="n"/>
      <c r="AQ166" s="6" t="n"/>
      <c r="AR166" s="64" t="n"/>
      <c r="AS166" s="5" t="n"/>
      <c r="AT166" s="6" t="n"/>
      <c r="AU166" s="65" t="n"/>
      <c r="AV166" s="6" t="n"/>
      <c r="AW166" s="65" t="n"/>
      <c r="AX166" s="6" t="n"/>
      <c r="AY166" s="65" t="n"/>
      <c r="AZ166" s="6" t="n"/>
      <c r="BA166" s="65" t="n"/>
      <c r="BB166" s="5" t="n"/>
      <c r="BC166" s="6" t="n"/>
      <c r="BD166" s="65" t="n"/>
      <c r="BE166" s="6" t="n"/>
      <c r="BF166" s="64" t="n"/>
      <c r="BG166" s="5" t="n"/>
      <c r="BH166" s="6" t="n"/>
      <c r="BI166" s="66" t="n"/>
      <c r="BJ166" s="5" t="n"/>
      <c r="BK166" s="40" t="n"/>
    </row>
    <row r="167" ht="20" customHeight="1">
      <c r="A167" s="59" t="n"/>
      <c r="B167" s="6" t="n"/>
      <c r="C167" s="60" t="n"/>
      <c r="D167" s="5" t="n"/>
      <c r="E167" s="5" t="n"/>
      <c r="F167" s="6" t="n"/>
      <c r="G167" s="60" t="n"/>
      <c r="H167" s="5" t="n"/>
      <c r="I167" s="6" t="n"/>
      <c r="J167" s="60" t="n"/>
      <c r="K167" s="5" t="n"/>
      <c r="L167" s="6" t="n"/>
      <c r="M167" s="60" t="n"/>
      <c r="N167" s="5" t="n"/>
      <c r="O167" s="5" t="n"/>
      <c r="P167" s="5" t="n"/>
      <c r="Q167" s="6" t="n"/>
      <c r="R167" s="60" t="n"/>
      <c r="S167" s="5" t="n"/>
      <c r="T167" s="5" t="n"/>
      <c r="U167" s="5" t="n"/>
      <c r="V167" s="5" t="n"/>
      <c r="W167" s="5" t="n"/>
      <c r="X167" s="6" t="n"/>
      <c r="Y167" s="60" t="n"/>
      <c r="Z167" s="5" t="n"/>
      <c r="AA167" s="5" t="n"/>
      <c r="AB167" s="5" t="n"/>
      <c r="AC167" s="5" t="n"/>
      <c r="AD167" s="6" t="n"/>
      <c r="AE167" s="61" t="n"/>
      <c r="AF167" s="6" t="n"/>
      <c r="AG167" s="61" t="n"/>
      <c r="AH167" s="6" t="n"/>
      <c r="AI167" s="61" t="n"/>
      <c r="AJ167" s="6" t="n"/>
      <c r="AK167" s="61" t="n"/>
      <c r="AL167" s="6" t="n"/>
      <c r="AM167" s="61" t="n"/>
      <c r="AN167" s="5" t="n"/>
      <c r="AO167" s="6" t="n"/>
      <c r="AP167" s="61" t="n"/>
      <c r="AQ167" s="6" t="n"/>
      <c r="AR167" s="60" t="n"/>
      <c r="AS167" s="5" t="n"/>
      <c r="AT167" s="6" t="n"/>
      <c r="AU167" s="61" t="n"/>
      <c r="AV167" s="6" t="n"/>
      <c r="AW167" s="61" t="n"/>
      <c r="AX167" s="6" t="n"/>
      <c r="AY167" s="61" t="n"/>
      <c r="AZ167" s="6" t="n"/>
      <c r="BA167" s="61" t="n"/>
      <c r="BB167" s="5" t="n"/>
      <c r="BC167" s="6" t="n"/>
      <c r="BD167" s="61" t="n"/>
      <c r="BE167" s="6" t="n"/>
      <c r="BF167" s="60" t="n"/>
      <c r="BG167" s="5" t="n"/>
      <c r="BH167" s="6" t="n"/>
      <c r="BI167" s="62" t="n"/>
      <c r="BJ167" s="5" t="n"/>
      <c r="BK167" s="40" t="n"/>
    </row>
    <row r="168" ht="20" customHeight="1">
      <c r="A168" s="63" t="n"/>
      <c r="B168" s="6" t="n"/>
      <c r="C168" s="64" t="n"/>
      <c r="D168" s="5" t="n"/>
      <c r="E168" s="5" t="n"/>
      <c r="F168" s="6" t="n"/>
      <c r="G168" s="64" t="n"/>
      <c r="H168" s="5" t="n"/>
      <c r="I168" s="6" t="n"/>
      <c r="J168" s="64" t="n"/>
      <c r="K168" s="5" t="n"/>
      <c r="L168" s="6" t="n"/>
      <c r="M168" s="64" t="n"/>
      <c r="N168" s="5" t="n"/>
      <c r="O168" s="5" t="n"/>
      <c r="P168" s="5" t="n"/>
      <c r="Q168" s="6" t="n"/>
      <c r="R168" s="64" t="n"/>
      <c r="S168" s="5" t="n"/>
      <c r="T168" s="5" t="n"/>
      <c r="U168" s="5" t="n"/>
      <c r="V168" s="5" t="n"/>
      <c r="W168" s="5" t="n"/>
      <c r="X168" s="6" t="n"/>
      <c r="Y168" s="64" t="n"/>
      <c r="Z168" s="5" t="n"/>
      <c r="AA168" s="5" t="n"/>
      <c r="AB168" s="5" t="n"/>
      <c r="AC168" s="5" t="n"/>
      <c r="AD168" s="6" t="n"/>
      <c r="AE168" s="65" t="n"/>
      <c r="AF168" s="6" t="n"/>
      <c r="AG168" s="65" t="n"/>
      <c r="AH168" s="6" t="n"/>
      <c r="AI168" s="65" t="n"/>
      <c r="AJ168" s="6" t="n"/>
      <c r="AK168" s="65" t="n"/>
      <c r="AL168" s="6" t="n"/>
      <c r="AM168" s="65" t="n"/>
      <c r="AN168" s="5" t="n"/>
      <c r="AO168" s="6" t="n"/>
      <c r="AP168" s="65" t="n"/>
      <c r="AQ168" s="6" t="n"/>
      <c r="AR168" s="64" t="n"/>
      <c r="AS168" s="5" t="n"/>
      <c r="AT168" s="6" t="n"/>
      <c r="AU168" s="65" t="n"/>
      <c r="AV168" s="6" t="n"/>
      <c r="AW168" s="65" t="n"/>
      <c r="AX168" s="6" t="n"/>
      <c r="AY168" s="65" t="n"/>
      <c r="AZ168" s="6" t="n"/>
      <c r="BA168" s="65" t="n"/>
      <c r="BB168" s="5" t="n"/>
      <c r="BC168" s="6" t="n"/>
      <c r="BD168" s="65" t="n"/>
      <c r="BE168" s="6" t="n"/>
      <c r="BF168" s="64" t="n"/>
      <c r="BG168" s="5" t="n"/>
      <c r="BH168" s="6" t="n"/>
      <c r="BI168" s="66" t="n"/>
      <c r="BJ168" s="5" t="n"/>
      <c r="BK168" s="40" t="n"/>
    </row>
    <row r="169" ht="20" customHeight="1">
      <c r="A169" s="59" t="n"/>
      <c r="B169" s="6" t="n"/>
      <c r="C169" s="60" t="n"/>
      <c r="D169" s="5" t="n"/>
      <c r="E169" s="5" t="n"/>
      <c r="F169" s="6" t="n"/>
      <c r="G169" s="60" t="n"/>
      <c r="H169" s="5" t="n"/>
      <c r="I169" s="6" t="n"/>
      <c r="J169" s="60" t="n"/>
      <c r="K169" s="5" t="n"/>
      <c r="L169" s="6" t="n"/>
      <c r="M169" s="60" t="n"/>
      <c r="N169" s="5" t="n"/>
      <c r="O169" s="5" t="n"/>
      <c r="P169" s="5" t="n"/>
      <c r="Q169" s="6" t="n"/>
      <c r="R169" s="60" t="n"/>
      <c r="S169" s="5" t="n"/>
      <c r="T169" s="5" t="n"/>
      <c r="U169" s="5" t="n"/>
      <c r="V169" s="5" t="n"/>
      <c r="W169" s="5" t="n"/>
      <c r="X169" s="6" t="n"/>
      <c r="Y169" s="60" t="n"/>
      <c r="Z169" s="5" t="n"/>
      <c r="AA169" s="5" t="n"/>
      <c r="AB169" s="5" t="n"/>
      <c r="AC169" s="5" t="n"/>
      <c r="AD169" s="6" t="n"/>
      <c r="AE169" s="61" t="n"/>
      <c r="AF169" s="6" t="n"/>
      <c r="AG169" s="61" t="n"/>
      <c r="AH169" s="6" t="n"/>
      <c r="AI169" s="61" t="n"/>
      <c r="AJ169" s="6" t="n"/>
      <c r="AK169" s="61" t="n"/>
      <c r="AL169" s="6" t="n"/>
      <c r="AM169" s="61" t="n"/>
      <c r="AN169" s="5" t="n"/>
      <c r="AO169" s="6" t="n"/>
      <c r="AP169" s="61" t="n"/>
      <c r="AQ169" s="6" t="n"/>
      <c r="AR169" s="60" t="n"/>
      <c r="AS169" s="5" t="n"/>
      <c r="AT169" s="6" t="n"/>
      <c r="AU169" s="61" t="n"/>
      <c r="AV169" s="6" t="n"/>
      <c r="AW169" s="61" t="n"/>
      <c r="AX169" s="6" t="n"/>
      <c r="AY169" s="61" t="n"/>
      <c r="AZ169" s="6" t="n"/>
      <c r="BA169" s="61" t="n"/>
      <c r="BB169" s="5" t="n"/>
      <c r="BC169" s="6" t="n"/>
      <c r="BD169" s="61" t="n"/>
      <c r="BE169" s="6" t="n"/>
      <c r="BF169" s="60" t="n"/>
      <c r="BG169" s="5" t="n"/>
      <c r="BH169" s="6" t="n"/>
      <c r="BI169" s="62" t="n"/>
      <c r="BJ169" s="5" t="n"/>
      <c r="BK169" s="40" t="n"/>
    </row>
    <row r="170" ht="20" customHeight="1">
      <c r="A170" s="63" t="n"/>
      <c r="B170" s="6" t="n"/>
      <c r="C170" s="64" t="n"/>
      <c r="D170" s="5" t="n"/>
      <c r="E170" s="5" t="n"/>
      <c r="F170" s="6" t="n"/>
      <c r="G170" s="64" t="n"/>
      <c r="H170" s="5" t="n"/>
      <c r="I170" s="6" t="n"/>
      <c r="J170" s="64" t="n"/>
      <c r="K170" s="5" t="n"/>
      <c r="L170" s="6" t="n"/>
      <c r="M170" s="64" t="n"/>
      <c r="N170" s="5" t="n"/>
      <c r="O170" s="5" t="n"/>
      <c r="P170" s="5" t="n"/>
      <c r="Q170" s="6" t="n"/>
      <c r="R170" s="64" t="n"/>
      <c r="S170" s="5" t="n"/>
      <c r="T170" s="5" t="n"/>
      <c r="U170" s="5" t="n"/>
      <c r="V170" s="5" t="n"/>
      <c r="W170" s="5" t="n"/>
      <c r="X170" s="6" t="n"/>
      <c r="Y170" s="64" t="n"/>
      <c r="Z170" s="5" t="n"/>
      <c r="AA170" s="5" t="n"/>
      <c r="AB170" s="5" t="n"/>
      <c r="AC170" s="5" t="n"/>
      <c r="AD170" s="6" t="n"/>
      <c r="AE170" s="65" t="n"/>
      <c r="AF170" s="6" t="n"/>
      <c r="AG170" s="65" t="n"/>
      <c r="AH170" s="6" t="n"/>
      <c r="AI170" s="65" t="n"/>
      <c r="AJ170" s="6" t="n"/>
      <c r="AK170" s="65" t="n"/>
      <c r="AL170" s="6" t="n"/>
      <c r="AM170" s="65" t="n"/>
      <c r="AN170" s="5" t="n"/>
      <c r="AO170" s="6" t="n"/>
      <c r="AP170" s="65" t="n"/>
      <c r="AQ170" s="6" t="n"/>
      <c r="AR170" s="64" t="n"/>
      <c r="AS170" s="5" t="n"/>
      <c r="AT170" s="6" t="n"/>
      <c r="AU170" s="65" t="n"/>
      <c r="AV170" s="6" t="n"/>
      <c r="AW170" s="65" t="n"/>
      <c r="AX170" s="6" t="n"/>
      <c r="AY170" s="65" t="n"/>
      <c r="AZ170" s="6" t="n"/>
      <c r="BA170" s="65" t="n"/>
      <c r="BB170" s="5" t="n"/>
      <c r="BC170" s="6" t="n"/>
      <c r="BD170" s="65" t="n"/>
      <c r="BE170" s="6" t="n"/>
      <c r="BF170" s="64" t="n"/>
      <c r="BG170" s="5" t="n"/>
      <c r="BH170" s="6" t="n"/>
      <c r="BI170" s="66" t="n"/>
      <c r="BJ170" s="5" t="n"/>
      <c r="BK170" s="40" t="n"/>
    </row>
    <row r="171" ht="20" customHeight="1">
      <c r="A171" s="59" t="n"/>
      <c r="B171" s="6" t="n"/>
      <c r="C171" s="60" t="n"/>
      <c r="D171" s="5" t="n"/>
      <c r="E171" s="5" t="n"/>
      <c r="F171" s="6" t="n"/>
      <c r="G171" s="60" t="n"/>
      <c r="H171" s="5" t="n"/>
      <c r="I171" s="6" t="n"/>
      <c r="J171" s="60" t="n"/>
      <c r="K171" s="5" t="n"/>
      <c r="L171" s="6" t="n"/>
      <c r="M171" s="60" t="n"/>
      <c r="N171" s="5" t="n"/>
      <c r="O171" s="5" t="n"/>
      <c r="P171" s="5" t="n"/>
      <c r="Q171" s="6" t="n"/>
      <c r="R171" s="60" t="n"/>
      <c r="S171" s="5" t="n"/>
      <c r="T171" s="5" t="n"/>
      <c r="U171" s="5" t="n"/>
      <c r="V171" s="5" t="n"/>
      <c r="W171" s="5" t="n"/>
      <c r="X171" s="6" t="n"/>
      <c r="Y171" s="60" t="n"/>
      <c r="Z171" s="5" t="n"/>
      <c r="AA171" s="5" t="n"/>
      <c r="AB171" s="5" t="n"/>
      <c r="AC171" s="5" t="n"/>
      <c r="AD171" s="6" t="n"/>
      <c r="AE171" s="61" t="n"/>
      <c r="AF171" s="6" t="n"/>
      <c r="AG171" s="61" t="n"/>
      <c r="AH171" s="6" t="n"/>
      <c r="AI171" s="61" t="n"/>
      <c r="AJ171" s="6" t="n"/>
      <c r="AK171" s="61" t="n"/>
      <c r="AL171" s="6" t="n"/>
      <c r="AM171" s="61" t="n"/>
      <c r="AN171" s="5" t="n"/>
      <c r="AO171" s="6" t="n"/>
      <c r="AP171" s="61" t="n"/>
      <c r="AQ171" s="6" t="n"/>
      <c r="AR171" s="60" t="n"/>
      <c r="AS171" s="5" t="n"/>
      <c r="AT171" s="6" t="n"/>
      <c r="AU171" s="61" t="n"/>
      <c r="AV171" s="6" t="n"/>
      <c r="AW171" s="61" t="n"/>
      <c r="AX171" s="6" t="n"/>
      <c r="AY171" s="61" t="n"/>
      <c r="AZ171" s="6" t="n"/>
      <c r="BA171" s="61" t="n"/>
      <c r="BB171" s="5" t="n"/>
      <c r="BC171" s="6" t="n"/>
      <c r="BD171" s="61" t="n"/>
      <c r="BE171" s="6" t="n"/>
      <c r="BF171" s="60" t="n"/>
      <c r="BG171" s="5" t="n"/>
      <c r="BH171" s="6" t="n"/>
      <c r="BI171" s="62" t="n"/>
      <c r="BJ171" s="5" t="n"/>
      <c r="BK171" s="40" t="n"/>
    </row>
    <row r="172" ht="20" customHeight="1">
      <c r="A172" s="63" t="n"/>
      <c r="B172" s="6" t="n"/>
      <c r="C172" s="64" t="n"/>
      <c r="D172" s="5" t="n"/>
      <c r="E172" s="5" t="n"/>
      <c r="F172" s="6" t="n"/>
      <c r="G172" s="64" t="n"/>
      <c r="H172" s="5" t="n"/>
      <c r="I172" s="6" t="n"/>
      <c r="J172" s="64" t="n"/>
      <c r="K172" s="5" t="n"/>
      <c r="L172" s="6" t="n"/>
      <c r="M172" s="64" t="n"/>
      <c r="N172" s="5" t="n"/>
      <c r="O172" s="5" t="n"/>
      <c r="P172" s="5" t="n"/>
      <c r="Q172" s="6" t="n"/>
      <c r="R172" s="64" t="n"/>
      <c r="S172" s="5" t="n"/>
      <c r="T172" s="5" t="n"/>
      <c r="U172" s="5" t="n"/>
      <c r="V172" s="5" t="n"/>
      <c r="W172" s="5" t="n"/>
      <c r="X172" s="6" t="n"/>
      <c r="Y172" s="64" t="n"/>
      <c r="Z172" s="5" t="n"/>
      <c r="AA172" s="5" t="n"/>
      <c r="AB172" s="5" t="n"/>
      <c r="AC172" s="5" t="n"/>
      <c r="AD172" s="6" t="n"/>
      <c r="AE172" s="65" t="n"/>
      <c r="AF172" s="6" t="n"/>
      <c r="AG172" s="65" t="n"/>
      <c r="AH172" s="6" t="n"/>
      <c r="AI172" s="65" t="n"/>
      <c r="AJ172" s="6" t="n"/>
      <c r="AK172" s="65" t="n"/>
      <c r="AL172" s="6" t="n"/>
      <c r="AM172" s="65" t="n"/>
      <c r="AN172" s="5" t="n"/>
      <c r="AO172" s="6" t="n"/>
      <c r="AP172" s="65" t="n"/>
      <c r="AQ172" s="6" t="n"/>
      <c r="AR172" s="64" t="n"/>
      <c r="AS172" s="5" t="n"/>
      <c r="AT172" s="6" t="n"/>
      <c r="AU172" s="65" t="n"/>
      <c r="AV172" s="6" t="n"/>
      <c r="AW172" s="65" t="n"/>
      <c r="AX172" s="6" t="n"/>
      <c r="AY172" s="65" t="n"/>
      <c r="AZ172" s="6" t="n"/>
      <c r="BA172" s="65" t="n"/>
      <c r="BB172" s="5" t="n"/>
      <c r="BC172" s="6" t="n"/>
      <c r="BD172" s="65" t="n"/>
      <c r="BE172" s="6" t="n"/>
      <c r="BF172" s="64" t="n"/>
      <c r="BG172" s="5" t="n"/>
      <c r="BH172" s="6" t="n"/>
      <c r="BI172" s="66" t="n"/>
      <c r="BJ172" s="5" t="n"/>
      <c r="BK172" s="40" t="n"/>
    </row>
    <row r="173" ht="20" customHeight="1">
      <c r="A173" s="59" t="n"/>
      <c r="B173" s="6" t="n"/>
      <c r="C173" s="60" t="n"/>
      <c r="D173" s="5" t="n"/>
      <c r="E173" s="5" t="n"/>
      <c r="F173" s="6" t="n"/>
      <c r="G173" s="60" t="n"/>
      <c r="H173" s="5" t="n"/>
      <c r="I173" s="6" t="n"/>
      <c r="J173" s="60" t="n"/>
      <c r="K173" s="5" t="n"/>
      <c r="L173" s="6" t="n"/>
      <c r="M173" s="60" t="n"/>
      <c r="N173" s="5" t="n"/>
      <c r="O173" s="5" t="n"/>
      <c r="P173" s="5" t="n"/>
      <c r="Q173" s="6" t="n"/>
      <c r="R173" s="60" t="n"/>
      <c r="S173" s="5" t="n"/>
      <c r="T173" s="5" t="n"/>
      <c r="U173" s="5" t="n"/>
      <c r="V173" s="5" t="n"/>
      <c r="W173" s="5" t="n"/>
      <c r="X173" s="6" t="n"/>
      <c r="Y173" s="60" t="n"/>
      <c r="Z173" s="5" t="n"/>
      <c r="AA173" s="5" t="n"/>
      <c r="AB173" s="5" t="n"/>
      <c r="AC173" s="5" t="n"/>
      <c r="AD173" s="6" t="n"/>
      <c r="AE173" s="61" t="n"/>
      <c r="AF173" s="6" t="n"/>
      <c r="AG173" s="61" t="n"/>
      <c r="AH173" s="6" t="n"/>
      <c r="AI173" s="61" t="n"/>
      <c r="AJ173" s="6" t="n"/>
      <c r="AK173" s="61" t="n"/>
      <c r="AL173" s="6" t="n"/>
      <c r="AM173" s="61" t="n"/>
      <c r="AN173" s="5" t="n"/>
      <c r="AO173" s="6" t="n"/>
      <c r="AP173" s="61" t="n"/>
      <c r="AQ173" s="6" t="n"/>
      <c r="AR173" s="60" t="n"/>
      <c r="AS173" s="5" t="n"/>
      <c r="AT173" s="6" t="n"/>
      <c r="AU173" s="61" t="n"/>
      <c r="AV173" s="6" t="n"/>
      <c r="AW173" s="61" t="n"/>
      <c r="AX173" s="6" t="n"/>
      <c r="AY173" s="61" t="n"/>
      <c r="AZ173" s="6" t="n"/>
      <c r="BA173" s="61" t="n"/>
      <c r="BB173" s="5" t="n"/>
      <c r="BC173" s="6" t="n"/>
      <c r="BD173" s="61" t="n"/>
      <c r="BE173" s="6" t="n"/>
      <c r="BF173" s="60" t="n"/>
      <c r="BG173" s="5" t="n"/>
      <c r="BH173" s="6" t="n"/>
      <c r="BI173" s="62" t="n"/>
      <c r="BJ173" s="5" t="n"/>
      <c r="BK173" s="40" t="n"/>
    </row>
    <row r="174" ht="20" customHeight="1">
      <c r="A174" s="63" t="n"/>
      <c r="B174" s="6" t="n"/>
      <c r="C174" s="64" t="n"/>
      <c r="D174" s="5" t="n"/>
      <c r="E174" s="5" t="n"/>
      <c r="F174" s="6" t="n"/>
      <c r="G174" s="64" t="n"/>
      <c r="H174" s="5" t="n"/>
      <c r="I174" s="6" t="n"/>
      <c r="J174" s="64" t="n"/>
      <c r="K174" s="5" t="n"/>
      <c r="L174" s="6" t="n"/>
      <c r="M174" s="64" t="n"/>
      <c r="N174" s="5" t="n"/>
      <c r="O174" s="5" t="n"/>
      <c r="P174" s="5" t="n"/>
      <c r="Q174" s="6" t="n"/>
      <c r="R174" s="64" t="n"/>
      <c r="S174" s="5" t="n"/>
      <c r="T174" s="5" t="n"/>
      <c r="U174" s="5" t="n"/>
      <c r="V174" s="5" t="n"/>
      <c r="W174" s="5" t="n"/>
      <c r="X174" s="6" t="n"/>
      <c r="Y174" s="64" t="n"/>
      <c r="Z174" s="5" t="n"/>
      <c r="AA174" s="5" t="n"/>
      <c r="AB174" s="5" t="n"/>
      <c r="AC174" s="5" t="n"/>
      <c r="AD174" s="6" t="n"/>
      <c r="AE174" s="65" t="n"/>
      <c r="AF174" s="6" t="n"/>
      <c r="AG174" s="65" t="n"/>
      <c r="AH174" s="6" t="n"/>
      <c r="AI174" s="65" t="n"/>
      <c r="AJ174" s="6" t="n"/>
      <c r="AK174" s="65" t="n"/>
      <c r="AL174" s="6" t="n"/>
      <c r="AM174" s="65" t="n"/>
      <c r="AN174" s="5" t="n"/>
      <c r="AO174" s="6" t="n"/>
      <c r="AP174" s="65" t="n"/>
      <c r="AQ174" s="6" t="n"/>
      <c r="AR174" s="64" t="n"/>
      <c r="AS174" s="5" t="n"/>
      <c r="AT174" s="6" t="n"/>
      <c r="AU174" s="65" t="n"/>
      <c r="AV174" s="6" t="n"/>
      <c r="AW174" s="65" t="n"/>
      <c r="AX174" s="6" t="n"/>
      <c r="AY174" s="65" t="n"/>
      <c r="AZ174" s="6" t="n"/>
      <c r="BA174" s="65" t="n"/>
      <c r="BB174" s="5" t="n"/>
      <c r="BC174" s="6" t="n"/>
      <c r="BD174" s="65" t="n"/>
      <c r="BE174" s="6" t="n"/>
      <c r="BF174" s="64" t="n"/>
      <c r="BG174" s="5" t="n"/>
      <c r="BH174" s="6" t="n"/>
      <c r="BI174" s="66" t="n"/>
      <c r="BJ174" s="5" t="n"/>
      <c r="BK174" s="40" t="n"/>
    </row>
    <row r="175" ht="20" customHeight="1">
      <c r="A175" s="59" t="n"/>
      <c r="B175" s="6" t="n"/>
      <c r="C175" s="60" t="n"/>
      <c r="D175" s="5" t="n"/>
      <c r="E175" s="5" t="n"/>
      <c r="F175" s="6" t="n"/>
      <c r="G175" s="60" t="n"/>
      <c r="H175" s="5" t="n"/>
      <c r="I175" s="6" t="n"/>
      <c r="J175" s="60" t="n"/>
      <c r="K175" s="5" t="n"/>
      <c r="L175" s="6" t="n"/>
      <c r="M175" s="60" t="n"/>
      <c r="N175" s="5" t="n"/>
      <c r="O175" s="5" t="n"/>
      <c r="P175" s="5" t="n"/>
      <c r="Q175" s="6" t="n"/>
      <c r="R175" s="60" t="n"/>
      <c r="S175" s="5" t="n"/>
      <c r="T175" s="5" t="n"/>
      <c r="U175" s="5" t="n"/>
      <c r="V175" s="5" t="n"/>
      <c r="W175" s="5" t="n"/>
      <c r="X175" s="6" t="n"/>
      <c r="Y175" s="60" t="n"/>
      <c r="Z175" s="5" t="n"/>
      <c r="AA175" s="5" t="n"/>
      <c r="AB175" s="5" t="n"/>
      <c r="AC175" s="5" t="n"/>
      <c r="AD175" s="6" t="n"/>
      <c r="AE175" s="61" t="n"/>
      <c r="AF175" s="6" t="n"/>
      <c r="AG175" s="61" t="n"/>
      <c r="AH175" s="6" t="n"/>
      <c r="AI175" s="61" t="n"/>
      <c r="AJ175" s="6" t="n"/>
      <c r="AK175" s="61" t="n"/>
      <c r="AL175" s="6" t="n"/>
      <c r="AM175" s="61" t="n"/>
      <c r="AN175" s="5" t="n"/>
      <c r="AO175" s="6" t="n"/>
      <c r="AP175" s="61" t="n"/>
      <c r="AQ175" s="6" t="n"/>
      <c r="AR175" s="60" t="n"/>
      <c r="AS175" s="5" t="n"/>
      <c r="AT175" s="6" t="n"/>
      <c r="AU175" s="61" t="n"/>
      <c r="AV175" s="6" t="n"/>
      <c r="AW175" s="61" t="n"/>
      <c r="AX175" s="6" t="n"/>
      <c r="AY175" s="61" t="n"/>
      <c r="AZ175" s="6" t="n"/>
      <c r="BA175" s="61" t="n"/>
      <c r="BB175" s="5" t="n"/>
      <c r="BC175" s="6" t="n"/>
      <c r="BD175" s="61" t="n"/>
      <c r="BE175" s="6" t="n"/>
      <c r="BF175" s="60" t="n"/>
      <c r="BG175" s="5" t="n"/>
      <c r="BH175" s="6" t="n"/>
      <c r="BI175" s="62" t="n"/>
      <c r="BJ175" s="5" t="n"/>
      <c r="BK175" s="40" t="n"/>
    </row>
    <row r="176" ht="20" customHeight="1">
      <c r="A176" s="63" t="n"/>
      <c r="B176" s="6" t="n"/>
      <c r="C176" s="64" t="n"/>
      <c r="D176" s="5" t="n"/>
      <c r="E176" s="5" t="n"/>
      <c r="F176" s="6" t="n"/>
      <c r="G176" s="64" t="n"/>
      <c r="H176" s="5" t="n"/>
      <c r="I176" s="6" t="n"/>
      <c r="J176" s="64" t="n"/>
      <c r="K176" s="5" t="n"/>
      <c r="L176" s="6" t="n"/>
      <c r="M176" s="64" t="n"/>
      <c r="N176" s="5" t="n"/>
      <c r="O176" s="5" t="n"/>
      <c r="P176" s="5" t="n"/>
      <c r="Q176" s="6" t="n"/>
      <c r="R176" s="64" t="n"/>
      <c r="S176" s="5" t="n"/>
      <c r="T176" s="5" t="n"/>
      <c r="U176" s="5" t="n"/>
      <c r="V176" s="5" t="n"/>
      <c r="W176" s="5" t="n"/>
      <c r="X176" s="6" t="n"/>
      <c r="Y176" s="64" t="n"/>
      <c r="Z176" s="5" t="n"/>
      <c r="AA176" s="5" t="n"/>
      <c r="AB176" s="5" t="n"/>
      <c r="AC176" s="5" t="n"/>
      <c r="AD176" s="6" t="n"/>
      <c r="AE176" s="65" t="n"/>
      <c r="AF176" s="6" t="n"/>
      <c r="AG176" s="65" t="n"/>
      <c r="AH176" s="6" t="n"/>
      <c r="AI176" s="65" t="n"/>
      <c r="AJ176" s="6" t="n"/>
      <c r="AK176" s="65" t="n"/>
      <c r="AL176" s="6" t="n"/>
      <c r="AM176" s="65" t="n"/>
      <c r="AN176" s="5" t="n"/>
      <c r="AO176" s="6" t="n"/>
      <c r="AP176" s="65" t="n"/>
      <c r="AQ176" s="6" t="n"/>
      <c r="AR176" s="64" t="n"/>
      <c r="AS176" s="5" t="n"/>
      <c r="AT176" s="6" t="n"/>
      <c r="AU176" s="65" t="n"/>
      <c r="AV176" s="6" t="n"/>
      <c r="AW176" s="65" t="n"/>
      <c r="AX176" s="6" t="n"/>
      <c r="AY176" s="65" t="n"/>
      <c r="AZ176" s="6" t="n"/>
      <c r="BA176" s="65" t="n"/>
      <c r="BB176" s="5" t="n"/>
      <c r="BC176" s="6" t="n"/>
      <c r="BD176" s="65" t="n"/>
      <c r="BE176" s="6" t="n"/>
      <c r="BF176" s="64" t="n"/>
      <c r="BG176" s="5" t="n"/>
      <c r="BH176" s="6" t="n"/>
      <c r="BI176" s="66" t="n"/>
      <c r="BJ176" s="5" t="n"/>
      <c r="BK176" s="40" t="n"/>
    </row>
    <row r="177" ht="20" customHeight="1">
      <c r="A177" s="59" t="n"/>
      <c r="B177" s="6" t="n"/>
      <c r="C177" s="60" t="n"/>
      <c r="D177" s="5" t="n"/>
      <c r="E177" s="5" t="n"/>
      <c r="F177" s="6" t="n"/>
      <c r="G177" s="60" t="n"/>
      <c r="H177" s="5" t="n"/>
      <c r="I177" s="6" t="n"/>
      <c r="J177" s="60" t="n"/>
      <c r="K177" s="5" t="n"/>
      <c r="L177" s="6" t="n"/>
      <c r="M177" s="60" t="n"/>
      <c r="N177" s="5" t="n"/>
      <c r="O177" s="5" t="n"/>
      <c r="P177" s="5" t="n"/>
      <c r="Q177" s="6" t="n"/>
      <c r="R177" s="60" t="n"/>
      <c r="S177" s="5" t="n"/>
      <c r="T177" s="5" t="n"/>
      <c r="U177" s="5" t="n"/>
      <c r="V177" s="5" t="n"/>
      <c r="W177" s="5" t="n"/>
      <c r="X177" s="6" t="n"/>
      <c r="Y177" s="60" t="n"/>
      <c r="Z177" s="5" t="n"/>
      <c r="AA177" s="5" t="n"/>
      <c r="AB177" s="5" t="n"/>
      <c r="AC177" s="5" t="n"/>
      <c r="AD177" s="6" t="n"/>
      <c r="AE177" s="61" t="n"/>
      <c r="AF177" s="6" t="n"/>
      <c r="AG177" s="61" t="n"/>
      <c r="AH177" s="6" t="n"/>
      <c r="AI177" s="61" t="n"/>
      <c r="AJ177" s="6" t="n"/>
      <c r="AK177" s="61" t="n"/>
      <c r="AL177" s="6" t="n"/>
      <c r="AM177" s="61" t="n"/>
      <c r="AN177" s="5" t="n"/>
      <c r="AO177" s="6" t="n"/>
      <c r="AP177" s="61" t="n"/>
      <c r="AQ177" s="6" t="n"/>
      <c r="AR177" s="60" t="n"/>
      <c r="AS177" s="5" t="n"/>
      <c r="AT177" s="6" t="n"/>
      <c r="AU177" s="61" t="n"/>
      <c r="AV177" s="6" t="n"/>
      <c r="AW177" s="61" t="n"/>
      <c r="AX177" s="6" t="n"/>
      <c r="AY177" s="61" t="n"/>
      <c r="AZ177" s="6" t="n"/>
      <c r="BA177" s="61" t="n"/>
      <c r="BB177" s="5" t="n"/>
      <c r="BC177" s="6" t="n"/>
      <c r="BD177" s="61" t="n"/>
      <c r="BE177" s="6" t="n"/>
      <c r="BF177" s="60" t="n"/>
      <c r="BG177" s="5" t="n"/>
      <c r="BH177" s="6" t="n"/>
      <c r="BI177" s="62" t="n"/>
      <c r="BJ177" s="5" t="n"/>
      <c r="BK177" s="40" t="n"/>
    </row>
    <row r="178" ht="20" customHeight="1">
      <c r="A178" s="63" t="n"/>
      <c r="B178" s="6" t="n"/>
      <c r="C178" s="64" t="n"/>
      <c r="D178" s="5" t="n"/>
      <c r="E178" s="5" t="n"/>
      <c r="F178" s="6" t="n"/>
      <c r="G178" s="64" t="n"/>
      <c r="H178" s="5" t="n"/>
      <c r="I178" s="6" t="n"/>
      <c r="J178" s="64" t="n"/>
      <c r="K178" s="5" t="n"/>
      <c r="L178" s="6" t="n"/>
      <c r="M178" s="64" t="n"/>
      <c r="N178" s="5" t="n"/>
      <c r="O178" s="5" t="n"/>
      <c r="P178" s="5" t="n"/>
      <c r="Q178" s="6" t="n"/>
      <c r="R178" s="64" t="n"/>
      <c r="S178" s="5" t="n"/>
      <c r="T178" s="5" t="n"/>
      <c r="U178" s="5" t="n"/>
      <c r="V178" s="5" t="n"/>
      <c r="W178" s="5" t="n"/>
      <c r="X178" s="6" t="n"/>
      <c r="Y178" s="64" t="n"/>
      <c r="Z178" s="5" t="n"/>
      <c r="AA178" s="5" t="n"/>
      <c r="AB178" s="5" t="n"/>
      <c r="AC178" s="5" t="n"/>
      <c r="AD178" s="6" t="n"/>
      <c r="AE178" s="65" t="n"/>
      <c r="AF178" s="6" t="n"/>
      <c r="AG178" s="65" t="n"/>
      <c r="AH178" s="6" t="n"/>
      <c r="AI178" s="65" t="n"/>
      <c r="AJ178" s="6" t="n"/>
      <c r="AK178" s="65" t="n"/>
      <c r="AL178" s="6" t="n"/>
      <c r="AM178" s="65" t="n"/>
      <c r="AN178" s="5" t="n"/>
      <c r="AO178" s="6" t="n"/>
      <c r="AP178" s="65" t="n"/>
      <c r="AQ178" s="6" t="n"/>
      <c r="AR178" s="64" t="n"/>
      <c r="AS178" s="5" t="n"/>
      <c r="AT178" s="6" t="n"/>
      <c r="AU178" s="65" t="n"/>
      <c r="AV178" s="6" t="n"/>
      <c r="AW178" s="65" t="n"/>
      <c r="AX178" s="6" t="n"/>
      <c r="AY178" s="65" t="n"/>
      <c r="AZ178" s="6" t="n"/>
      <c r="BA178" s="65" t="n"/>
      <c r="BB178" s="5" t="n"/>
      <c r="BC178" s="6" t="n"/>
      <c r="BD178" s="65" t="n"/>
      <c r="BE178" s="6" t="n"/>
      <c r="BF178" s="64" t="n"/>
      <c r="BG178" s="5" t="n"/>
      <c r="BH178" s="6" t="n"/>
      <c r="BI178" s="66" t="n"/>
      <c r="BJ178" s="5" t="n"/>
      <c r="BK178" s="40" t="n"/>
    </row>
    <row r="179" ht="20" customHeight="1">
      <c r="A179" s="59" t="n"/>
      <c r="B179" s="6" t="n"/>
      <c r="C179" s="60" t="n"/>
      <c r="D179" s="5" t="n"/>
      <c r="E179" s="5" t="n"/>
      <c r="F179" s="6" t="n"/>
      <c r="G179" s="60" t="n"/>
      <c r="H179" s="5" t="n"/>
      <c r="I179" s="6" t="n"/>
      <c r="J179" s="60" t="n"/>
      <c r="K179" s="5" t="n"/>
      <c r="L179" s="6" t="n"/>
      <c r="M179" s="60" t="n"/>
      <c r="N179" s="5" t="n"/>
      <c r="O179" s="5" t="n"/>
      <c r="P179" s="5" t="n"/>
      <c r="Q179" s="6" t="n"/>
      <c r="R179" s="60" t="n"/>
      <c r="S179" s="5" t="n"/>
      <c r="T179" s="5" t="n"/>
      <c r="U179" s="5" t="n"/>
      <c r="V179" s="5" t="n"/>
      <c r="W179" s="5" t="n"/>
      <c r="X179" s="6" t="n"/>
      <c r="Y179" s="60" t="n"/>
      <c r="Z179" s="5" t="n"/>
      <c r="AA179" s="5" t="n"/>
      <c r="AB179" s="5" t="n"/>
      <c r="AC179" s="5" t="n"/>
      <c r="AD179" s="6" t="n"/>
      <c r="AE179" s="61" t="n"/>
      <c r="AF179" s="6" t="n"/>
      <c r="AG179" s="61" t="n"/>
      <c r="AH179" s="6" t="n"/>
      <c r="AI179" s="61" t="n"/>
      <c r="AJ179" s="6" t="n"/>
      <c r="AK179" s="61" t="n"/>
      <c r="AL179" s="6" t="n"/>
      <c r="AM179" s="61" t="n"/>
      <c r="AN179" s="5" t="n"/>
      <c r="AO179" s="6" t="n"/>
      <c r="AP179" s="61" t="n"/>
      <c r="AQ179" s="6" t="n"/>
      <c r="AR179" s="60" t="n"/>
      <c r="AS179" s="5" t="n"/>
      <c r="AT179" s="6" t="n"/>
      <c r="AU179" s="61" t="n"/>
      <c r="AV179" s="6" t="n"/>
      <c r="AW179" s="61" t="n"/>
      <c r="AX179" s="6" t="n"/>
      <c r="AY179" s="61" t="n"/>
      <c r="AZ179" s="6" t="n"/>
      <c r="BA179" s="61" t="n"/>
      <c r="BB179" s="5" t="n"/>
      <c r="BC179" s="6" t="n"/>
      <c r="BD179" s="61" t="n"/>
      <c r="BE179" s="6" t="n"/>
      <c r="BF179" s="60" t="n"/>
      <c r="BG179" s="5" t="n"/>
      <c r="BH179" s="6" t="n"/>
      <c r="BI179" s="62" t="n"/>
      <c r="BJ179" s="5" t="n"/>
      <c r="BK179" s="40" t="n"/>
    </row>
    <row r="180" ht="20" customHeight="1">
      <c r="A180" s="63" t="n"/>
      <c r="B180" s="6" t="n"/>
      <c r="C180" s="64" t="n"/>
      <c r="D180" s="5" t="n"/>
      <c r="E180" s="5" t="n"/>
      <c r="F180" s="6" t="n"/>
      <c r="G180" s="64" t="n"/>
      <c r="H180" s="5" t="n"/>
      <c r="I180" s="6" t="n"/>
      <c r="J180" s="64" t="n"/>
      <c r="K180" s="5" t="n"/>
      <c r="L180" s="6" t="n"/>
      <c r="M180" s="64" t="n"/>
      <c r="N180" s="5" t="n"/>
      <c r="O180" s="5" t="n"/>
      <c r="P180" s="5" t="n"/>
      <c r="Q180" s="6" t="n"/>
      <c r="R180" s="64" t="n"/>
      <c r="S180" s="5" t="n"/>
      <c r="T180" s="5" t="n"/>
      <c r="U180" s="5" t="n"/>
      <c r="V180" s="5" t="n"/>
      <c r="W180" s="5" t="n"/>
      <c r="X180" s="6" t="n"/>
      <c r="Y180" s="64" t="n"/>
      <c r="Z180" s="5" t="n"/>
      <c r="AA180" s="5" t="n"/>
      <c r="AB180" s="5" t="n"/>
      <c r="AC180" s="5" t="n"/>
      <c r="AD180" s="6" t="n"/>
      <c r="AE180" s="65" t="n"/>
      <c r="AF180" s="6" t="n"/>
      <c r="AG180" s="65" t="n"/>
      <c r="AH180" s="6" t="n"/>
      <c r="AI180" s="65" t="n"/>
      <c r="AJ180" s="6" t="n"/>
      <c r="AK180" s="65" t="n"/>
      <c r="AL180" s="6" t="n"/>
      <c r="AM180" s="65" t="n"/>
      <c r="AN180" s="5" t="n"/>
      <c r="AO180" s="6" t="n"/>
      <c r="AP180" s="65" t="n"/>
      <c r="AQ180" s="6" t="n"/>
      <c r="AR180" s="64" t="n"/>
      <c r="AS180" s="5" t="n"/>
      <c r="AT180" s="6" t="n"/>
      <c r="AU180" s="65" t="n"/>
      <c r="AV180" s="6" t="n"/>
      <c r="AW180" s="65" t="n"/>
      <c r="AX180" s="6" t="n"/>
      <c r="AY180" s="65" t="n"/>
      <c r="AZ180" s="6" t="n"/>
      <c r="BA180" s="65" t="n"/>
      <c r="BB180" s="5" t="n"/>
      <c r="BC180" s="6" t="n"/>
      <c r="BD180" s="65" t="n"/>
      <c r="BE180" s="6" t="n"/>
      <c r="BF180" s="64" t="n"/>
      <c r="BG180" s="5" t="n"/>
      <c r="BH180" s="6" t="n"/>
      <c r="BI180" s="66" t="n"/>
      <c r="BJ180" s="5" t="n"/>
      <c r="BK180" s="40" t="n"/>
    </row>
    <row r="181" ht="20" customHeight="1">
      <c r="A181" s="59" t="n"/>
      <c r="B181" s="6" t="n"/>
      <c r="C181" s="60" t="n"/>
      <c r="D181" s="5" t="n"/>
      <c r="E181" s="5" t="n"/>
      <c r="F181" s="6" t="n"/>
      <c r="G181" s="60" t="n"/>
      <c r="H181" s="5" t="n"/>
      <c r="I181" s="6" t="n"/>
      <c r="J181" s="60" t="n"/>
      <c r="K181" s="5" t="n"/>
      <c r="L181" s="6" t="n"/>
      <c r="M181" s="60" t="n"/>
      <c r="N181" s="5" t="n"/>
      <c r="O181" s="5" t="n"/>
      <c r="P181" s="5" t="n"/>
      <c r="Q181" s="6" t="n"/>
      <c r="R181" s="60" t="n"/>
      <c r="S181" s="5" t="n"/>
      <c r="T181" s="5" t="n"/>
      <c r="U181" s="5" t="n"/>
      <c r="V181" s="5" t="n"/>
      <c r="W181" s="5" t="n"/>
      <c r="X181" s="6" t="n"/>
      <c r="Y181" s="60" t="n"/>
      <c r="Z181" s="5" t="n"/>
      <c r="AA181" s="5" t="n"/>
      <c r="AB181" s="5" t="n"/>
      <c r="AC181" s="5" t="n"/>
      <c r="AD181" s="6" t="n"/>
      <c r="AE181" s="61" t="n"/>
      <c r="AF181" s="6" t="n"/>
      <c r="AG181" s="61" t="n"/>
      <c r="AH181" s="6" t="n"/>
      <c r="AI181" s="61" t="n"/>
      <c r="AJ181" s="6" t="n"/>
      <c r="AK181" s="61" t="n"/>
      <c r="AL181" s="6" t="n"/>
      <c r="AM181" s="61" t="n"/>
      <c r="AN181" s="5" t="n"/>
      <c r="AO181" s="6" t="n"/>
      <c r="AP181" s="61" t="n"/>
      <c r="AQ181" s="6" t="n"/>
      <c r="AR181" s="60" t="n"/>
      <c r="AS181" s="5" t="n"/>
      <c r="AT181" s="6" t="n"/>
      <c r="AU181" s="61" t="n"/>
      <c r="AV181" s="6" t="n"/>
      <c r="AW181" s="61" t="n"/>
      <c r="AX181" s="6" t="n"/>
      <c r="AY181" s="61" t="n"/>
      <c r="AZ181" s="6" t="n"/>
      <c r="BA181" s="61" t="n"/>
      <c r="BB181" s="5" t="n"/>
      <c r="BC181" s="6" t="n"/>
      <c r="BD181" s="61" t="n"/>
      <c r="BE181" s="6" t="n"/>
      <c r="BF181" s="60" t="n"/>
      <c r="BG181" s="5" t="n"/>
      <c r="BH181" s="6" t="n"/>
      <c r="BI181" s="62" t="n"/>
      <c r="BJ181" s="5" t="n"/>
      <c r="BK181" s="40" t="n"/>
    </row>
    <row r="182" ht="20" customHeight="1">
      <c r="A182" s="63" t="n"/>
      <c r="B182" s="6" t="n"/>
      <c r="C182" s="64" t="n"/>
      <c r="D182" s="5" t="n"/>
      <c r="E182" s="5" t="n"/>
      <c r="F182" s="6" t="n"/>
      <c r="G182" s="64" t="n"/>
      <c r="H182" s="5" t="n"/>
      <c r="I182" s="6" t="n"/>
      <c r="J182" s="64" t="n"/>
      <c r="K182" s="5" t="n"/>
      <c r="L182" s="6" t="n"/>
      <c r="M182" s="64" t="n"/>
      <c r="N182" s="5" t="n"/>
      <c r="O182" s="5" t="n"/>
      <c r="P182" s="5" t="n"/>
      <c r="Q182" s="6" t="n"/>
      <c r="R182" s="64" t="n"/>
      <c r="S182" s="5" t="n"/>
      <c r="T182" s="5" t="n"/>
      <c r="U182" s="5" t="n"/>
      <c r="V182" s="5" t="n"/>
      <c r="W182" s="5" t="n"/>
      <c r="X182" s="6" t="n"/>
      <c r="Y182" s="64" t="n"/>
      <c r="Z182" s="5" t="n"/>
      <c r="AA182" s="5" t="n"/>
      <c r="AB182" s="5" t="n"/>
      <c r="AC182" s="5" t="n"/>
      <c r="AD182" s="6" t="n"/>
      <c r="AE182" s="65" t="n"/>
      <c r="AF182" s="6" t="n"/>
      <c r="AG182" s="65" t="n"/>
      <c r="AH182" s="6" t="n"/>
      <c r="AI182" s="65" t="n"/>
      <c r="AJ182" s="6" t="n"/>
      <c r="AK182" s="65" t="n"/>
      <c r="AL182" s="6" t="n"/>
      <c r="AM182" s="65" t="n"/>
      <c r="AN182" s="5" t="n"/>
      <c r="AO182" s="6" t="n"/>
      <c r="AP182" s="65" t="n"/>
      <c r="AQ182" s="6" t="n"/>
      <c r="AR182" s="64" t="n"/>
      <c r="AS182" s="5" t="n"/>
      <c r="AT182" s="6" t="n"/>
      <c r="AU182" s="65" t="n"/>
      <c r="AV182" s="6" t="n"/>
      <c r="AW182" s="65" t="n"/>
      <c r="AX182" s="6" t="n"/>
      <c r="AY182" s="65" t="n"/>
      <c r="AZ182" s="6" t="n"/>
      <c r="BA182" s="65" t="n"/>
      <c r="BB182" s="5" t="n"/>
      <c r="BC182" s="6" t="n"/>
      <c r="BD182" s="65" t="n"/>
      <c r="BE182" s="6" t="n"/>
      <c r="BF182" s="64" t="n"/>
      <c r="BG182" s="5" t="n"/>
      <c r="BH182" s="6" t="n"/>
      <c r="BI182" s="66" t="n"/>
      <c r="BJ182" s="5" t="n"/>
      <c r="BK182" s="40" t="n"/>
    </row>
    <row r="183" ht="20" customHeight="1">
      <c r="A183" s="59" t="n"/>
      <c r="B183" s="6" t="n"/>
      <c r="C183" s="60" t="n"/>
      <c r="D183" s="5" t="n"/>
      <c r="E183" s="5" t="n"/>
      <c r="F183" s="6" t="n"/>
      <c r="G183" s="60" t="n"/>
      <c r="H183" s="5" t="n"/>
      <c r="I183" s="6" t="n"/>
      <c r="J183" s="60" t="n"/>
      <c r="K183" s="5" t="n"/>
      <c r="L183" s="6" t="n"/>
      <c r="M183" s="60" t="n"/>
      <c r="N183" s="5" t="n"/>
      <c r="O183" s="5" t="n"/>
      <c r="P183" s="5" t="n"/>
      <c r="Q183" s="6" t="n"/>
      <c r="R183" s="60" t="n"/>
      <c r="S183" s="5" t="n"/>
      <c r="T183" s="5" t="n"/>
      <c r="U183" s="5" t="n"/>
      <c r="V183" s="5" t="n"/>
      <c r="W183" s="5" t="n"/>
      <c r="X183" s="6" t="n"/>
      <c r="Y183" s="60" t="n"/>
      <c r="Z183" s="5" t="n"/>
      <c r="AA183" s="5" t="n"/>
      <c r="AB183" s="5" t="n"/>
      <c r="AC183" s="5" t="n"/>
      <c r="AD183" s="6" t="n"/>
      <c r="AE183" s="61" t="n"/>
      <c r="AF183" s="6" t="n"/>
      <c r="AG183" s="61" t="n"/>
      <c r="AH183" s="6" t="n"/>
      <c r="AI183" s="61" t="n"/>
      <c r="AJ183" s="6" t="n"/>
      <c r="AK183" s="61" t="n"/>
      <c r="AL183" s="6" t="n"/>
      <c r="AM183" s="61" t="n"/>
      <c r="AN183" s="5" t="n"/>
      <c r="AO183" s="6" t="n"/>
      <c r="AP183" s="61" t="n"/>
      <c r="AQ183" s="6" t="n"/>
      <c r="AR183" s="60" t="n"/>
      <c r="AS183" s="5" t="n"/>
      <c r="AT183" s="6" t="n"/>
      <c r="AU183" s="61" t="n"/>
      <c r="AV183" s="6" t="n"/>
      <c r="AW183" s="61" t="n"/>
      <c r="AX183" s="6" t="n"/>
      <c r="AY183" s="61" t="n"/>
      <c r="AZ183" s="6" t="n"/>
      <c r="BA183" s="61" t="n"/>
      <c r="BB183" s="5" t="n"/>
      <c r="BC183" s="6" t="n"/>
      <c r="BD183" s="61" t="n"/>
      <c r="BE183" s="6" t="n"/>
      <c r="BF183" s="60" t="n"/>
      <c r="BG183" s="5" t="n"/>
      <c r="BH183" s="6" t="n"/>
      <c r="BI183" s="62" t="n"/>
      <c r="BJ183" s="5" t="n"/>
      <c r="BK183" s="40" t="n"/>
    </row>
    <row r="184" ht="20" customHeight="1">
      <c r="A184" s="63" t="n"/>
      <c r="B184" s="6" t="n"/>
      <c r="C184" s="64" t="n"/>
      <c r="D184" s="5" t="n"/>
      <c r="E184" s="5" t="n"/>
      <c r="F184" s="6" t="n"/>
      <c r="G184" s="64" t="n"/>
      <c r="H184" s="5" t="n"/>
      <c r="I184" s="6" t="n"/>
      <c r="J184" s="64" t="n"/>
      <c r="K184" s="5" t="n"/>
      <c r="L184" s="6" t="n"/>
      <c r="M184" s="64" t="n"/>
      <c r="N184" s="5" t="n"/>
      <c r="O184" s="5" t="n"/>
      <c r="P184" s="5" t="n"/>
      <c r="Q184" s="6" t="n"/>
      <c r="R184" s="64" t="n"/>
      <c r="S184" s="5" t="n"/>
      <c r="T184" s="5" t="n"/>
      <c r="U184" s="5" t="n"/>
      <c r="V184" s="5" t="n"/>
      <c r="W184" s="5" t="n"/>
      <c r="X184" s="6" t="n"/>
      <c r="Y184" s="64" t="n"/>
      <c r="Z184" s="5" t="n"/>
      <c r="AA184" s="5" t="n"/>
      <c r="AB184" s="5" t="n"/>
      <c r="AC184" s="5" t="n"/>
      <c r="AD184" s="6" t="n"/>
      <c r="AE184" s="65" t="n"/>
      <c r="AF184" s="6" t="n"/>
      <c r="AG184" s="65" t="n"/>
      <c r="AH184" s="6" t="n"/>
      <c r="AI184" s="65" t="n"/>
      <c r="AJ184" s="6" t="n"/>
      <c r="AK184" s="65" t="n"/>
      <c r="AL184" s="6" t="n"/>
      <c r="AM184" s="65" t="n"/>
      <c r="AN184" s="5" t="n"/>
      <c r="AO184" s="6" t="n"/>
      <c r="AP184" s="65" t="n"/>
      <c r="AQ184" s="6" t="n"/>
      <c r="AR184" s="64" t="n"/>
      <c r="AS184" s="5" t="n"/>
      <c r="AT184" s="6" t="n"/>
      <c r="AU184" s="65" t="n"/>
      <c r="AV184" s="6" t="n"/>
      <c r="AW184" s="65" t="n"/>
      <c r="AX184" s="6" t="n"/>
      <c r="AY184" s="65" t="n"/>
      <c r="AZ184" s="6" t="n"/>
      <c r="BA184" s="65" t="n"/>
      <c r="BB184" s="5" t="n"/>
      <c r="BC184" s="6" t="n"/>
      <c r="BD184" s="65" t="n"/>
      <c r="BE184" s="6" t="n"/>
      <c r="BF184" s="64" t="n"/>
      <c r="BG184" s="5" t="n"/>
      <c r="BH184" s="6" t="n"/>
      <c r="BI184" s="66" t="n"/>
      <c r="BJ184" s="5" t="n"/>
      <c r="BK184" s="40" t="n"/>
    </row>
    <row r="185" ht="20" customHeight="1">
      <c r="A185" s="59" t="n"/>
      <c r="B185" s="6" t="n"/>
      <c r="C185" s="60" t="n"/>
      <c r="D185" s="5" t="n"/>
      <c r="E185" s="5" t="n"/>
      <c r="F185" s="6" t="n"/>
      <c r="G185" s="60" t="n"/>
      <c r="H185" s="5" t="n"/>
      <c r="I185" s="6" t="n"/>
      <c r="J185" s="60" t="n"/>
      <c r="K185" s="5" t="n"/>
      <c r="L185" s="6" t="n"/>
      <c r="M185" s="60" t="n"/>
      <c r="N185" s="5" t="n"/>
      <c r="O185" s="5" t="n"/>
      <c r="P185" s="5" t="n"/>
      <c r="Q185" s="6" t="n"/>
      <c r="R185" s="60" t="n"/>
      <c r="S185" s="5" t="n"/>
      <c r="T185" s="5" t="n"/>
      <c r="U185" s="5" t="n"/>
      <c r="V185" s="5" t="n"/>
      <c r="W185" s="5" t="n"/>
      <c r="X185" s="6" t="n"/>
      <c r="Y185" s="60" t="n"/>
      <c r="Z185" s="5" t="n"/>
      <c r="AA185" s="5" t="n"/>
      <c r="AB185" s="5" t="n"/>
      <c r="AC185" s="5" t="n"/>
      <c r="AD185" s="6" t="n"/>
      <c r="AE185" s="61" t="n"/>
      <c r="AF185" s="6" t="n"/>
      <c r="AG185" s="61" t="n"/>
      <c r="AH185" s="6" t="n"/>
      <c r="AI185" s="61" t="n"/>
      <c r="AJ185" s="6" t="n"/>
      <c r="AK185" s="61" t="n"/>
      <c r="AL185" s="6" t="n"/>
      <c r="AM185" s="61" t="n"/>
      <c r="AN185" s="5" t="n"/>
      <c r="AO185" s="6" t="n"/>
      <c r="AP185" s="61" t="n"/>
      <c r="AQ185" s="6" t="n"/>
      <c r="AR185" s="60" t="n"/>
      <c r="AS185" s="5" t="n"/>
      <c r="AT185" s="6" t="n"/>
      <c r="AU185" s="61" t="n"/>
      <c r="AV185" s="6" t="n"/>
      <c r="AW185" s="61" t="n"/>
      <c r="AX185" s="6" t="n"/>
      <c r="AY185" s="61" t="n"/>
      <c r="AZ185" s="6" t="n"/>
      <c r="BA185" s="61" t="n"/>
      <c r="BB185" s="5" t="n"/>
      <c r="BC185" s="6" t="n"/>
      <c r="BD185" s="61" t="n"/>
      <c r="BE185" s="6" t="n"/>
      <c r="BF185" s="60" t="n"/>
      <c r="BG185" s="5" t="n"/>
      <c r="BH185" s="6" t="n"/>
      <c r="BI185" s="62" t="n"/>
      <c r="BJ185" s="5" t="n"/>
      <c r="BK185" s="40" t="n"/>
    </row>
    <row r="186" ht="20" customHeight="1">
      <c r="A186" s="63" t="n"/>
      <c r="B186" s="6" t="n"/>
      <c r="C186" s="64" t="n"/>
      <c r="D186" s="5" t="n"/>
      <c r="E186" s="5" t="n"/>
      <c r="F186" s="6" t="n"/>
      <c r="G186" s="64" t="n"/>
      <c r="H186" s="5" t="n"/>
      <c r="I186" s="6" t="n"/>
      <c r="J186" s="64" t="n"/>
      <c r="K186" s="5" t="n"/>
      <c r="L186" s="6" t="n"/>
      <c r="M186" s="64" t="n"/>
      <c r="N186" s="5" t="n"/>
      <c r="O186" s="5" t="n"/>
      <c r="P186" s="5" t="n"/>
      <c r="Q186" s="6" t="n"/>
      <c r="R186" s="64" t="n"/>
      <c r="S186" s="5" t="n"/>
      <c r="T186" s="5" t="n"/>
      <c r="U186" s="5" t="n"/>
      <c r="V186" s="5" t="n"/>
      <c r="W186" s="5" t="n"/>
      <c r="X186" s="6" t="n"/>
      <c r="Y186" s="64" t="n"/>
      <c r="Z186" s="5" t="n"/>
      <c r="AA186" s="5" t="n"/>
      <c r="AB186" s="5" t="n"/>
      <c r="AC186" s="5" t="n"/>
      <c r="AD186" s="6" t="n"/>
      <c r="AE186" s="65" t="n"/>
      <c r="AF186" s="6" t="n"/>
      <c r="AG186" s="65" t="n"/>
      <c r="AH186" s="6" t="n"/>
      <c r="AI186" s="65" t="n"/>
      <c r="AJ186" s="6" t="n"/>
      <c r="AK186" s="65" t="n"/>
      <c r="AL186" s="6" t="n"/>
      <c r="AM186" s="65" t="n"/>
      <c r="AN186" s="5" t="n"/>
      <c r="AO186" s="6" t="n"/>
      <c r="AP186" s="65" t="n"/>
      <c r="AQ186" s="6" t="n"/>
      <c r="AR186" s="64" t="n"/>
      <c r="AS186" s="5" t="n"/>
      <c r="AT186" s="6" t="n"/>
      <c r="AU186" s="65" t="n"/>
      <c r="AV186" s="6" t="n"/>
      <c r="AW186" s="65" t="n"/>
      <c r="AX186" s="6" t="n"/>
      <c r="AY186" s="65" t="n"/>
      <c r="AZ186" s="6" t="n"/>
      <c r="BA186" s="65" t="n"/>
      <c r="BB186" s="5" t="n"/>
      <c r="BC186" s="6" t="n"/>
      <c r="BD186" s="65" t="n"/>
      <c r="BE186" s="6" t="n"/>
      <c r="BF186" s="64" t="n"/>
      <c r="BG186" s="5" t="n"/>
      <c r="BH186" s="6" t="n"/>
      <c r="BI186" s="66" t="n"/>
      <c r="BJ186" s="5" t="n"/>
      <c r="BK186" s="40" t="n"/>
    </row>
    <row r="187" ht="20" customHeight="1">
      <c r="A187" s="59" t="n"/>
      <c r="B187" s="6" t="n"/>
      <c r="C187" s="60" t="n"/>
      <c r="D187" s="5" t="n"/>
      <c r="E187" s="5" t="n"/>
      <c r="F187" s="6" t="n"/>
      <c r="G187" s="60" t="n"/>
      <c r="H187" s="5" t="n"/>
      <c r="I187" s="6" t="n"/>
      <c r="J187" s="60" t="n"/>
      <c r="K187" s="5" t="n"/>
      <c r="L187" s="6" t="n"/>
      <c r="M187" s="60" t="n"/>
      <c r="N187" s="5" t="n"/>
      <c r="O187" s="5" t="n"/>
      <c r="P187" s="5" t="n"/>
      <c r="Q187" s="6" t="n"/>
      <c r="R187" s="60" t="n"/>
      <c r="S187" s="5" t="n"/>
      <c r="T187" s="5" t="n"/>
      <c r="U187" s="5" t="n"/>
      <c r="V187" s="5" t="n"/>
      <c r="W187" s="5" t="n"/>
      <c r="X187" s="6" t="n"/>
      <c r="Y187" s="60" t="n"/>
      <c r="Z187" s="5" t="n"/>
      <c r="AA187" s="5" t="n"/>
      <c r="AB187" s="5" t="n"/>
      <c r="AC187" s="5" t="n"/>
      <c r="AD187" s="6" t="n"/>
      <c r="AE187" s="61" t="n"/>
      <c r="AF187" s="6" t="n"/>
      <c r="AG187" s="61" t="n"/>
      <c r="AH187" s="6" t="n"/>
      <c r="AI187" s="61" t="n"/>
      <c r="AJ187" s="6" t="n"/>
      <c r="AK187" s="61" t="n"/>
      <c r="AL187" s="6" t="n"/>
      <c r="AM187" s="61" t="n"/>
      <c r="AN187" s="5" t="n"/>
      <c r="AO187" s="6" t="n"/>
      <c r="AP187" s="61" t="n"/>
      <c r="AQ187" s="6" t="n"/>
      <c r="AR187" s="60" t="n"/>
      <c r="AS187" s="5" t="n"/>
      <c r="AT187" s="6" t="n"/>
      <c r="AU187" s="61" t="n"/>
      <c r="AV187" s="6" t="n"/>
      <c r="AW187" s="61" t="n"/>
      <c r="AX187" s="6" t="n"/>
      <c r="AY187" s="61" t="n"/>
      <c r="AZ187" s="6" t="n"/>
      <c r="BA187" s="61" t="n"/>
      <c r="BB187" s="5" t="n"/>
      <c r="BC187" s="6" t="n"/>
      <c r="BD187" s="61" t="n"/>
      <c r="BE187" s="6" t="n"/>
      <c r="BF187" s="60" t="n"/>
      <c r="BG187" s="5" t="n"/>
      <c r="BH187" s="6" t="n"/>
      <c r="BI187" s="62" t="n"/>
      <c r="BJ187" s="5" t="n"/>
      <c r="BK187" s="40" t="n"/>
    </row>
    <row r="188" ht="20" customHeight="1">
      <c r="A188" s="63" t="n"/>
      <c r="B188" s="6" t="n"/>
      <c r="C188" s="64" t="n"/>
      <c r="D188" s="5" t="n"/>
      <c r="E188" s="5" t="n"/>
      <c r="F188" s="6" t="n"/>
      <c r="G188" s="64" t="n"/>
      <c r="H188" s="5" t="n"/>
      <c r="I188" s="6" t="n"/>
      <c r="J188" s="64" t="n"/>
      <c r="K188" s="5" t="n"/>
      <c r="L188" s="6" t="n"/>
      <c r="M188" s="64" t="n"/>
      <c r="N188" s="5" t="n"/>
      <c r="O188" s="5" t="n"/>
      <c r="P188" s="5" t="n"/>
      <c r="Q188" s="6" t="n"/>
      <c r="R188" s="64" t="n"/>
      <c r="S188" s="5" t="n"/>
      <c r="T188" s="5" t="n"/>
      <c r="U188" s="5" t="n"/>
      <c r="V188" s="5" t="n"/>
      <c r="W188" s="5" t="n"/>
      <c r="X188" s="6" t="n"/>
      <c r="Y188" s="64" t="n"/>
      <c r="Z188" s="5" t="n"/>
      <c r="AA188" s="5" t="n"/>
      <c r="AB188" s="5" t="n"/>
      <c r="AC188" s="5" t="n"/>
      <c r="AD188" s="6" t="n"/>
      <c r="AE188" s="65" t="n"/>
      <c r="AF188" s="6" t="n"/>
      <c r="AG188" s="65" t="n"/>
      <c r="AH188" s="6" t="n"/>
      <c r="AI188" s="65" t="n"/>
      <c r="AJ188" s="6" t="n"/>
      <c r="AK188" s="65" t="n"/>
      <c r="AL188" s="6" t="n"/>
      <c r="AM188" s="65" t="n"/>
      <c r="AN188" s="5" t="n"/>
      <c r="AO188" s="6" t="n"/>
      <c r="AP188" s="65" t="n"/>
      <c r="AQ188" s="6" t="n"/>
      <c r="AR188" s="64" t="n"/>
      <c r="AS188" s="5" t="n"/>
      <c r="AT188" s="6" t="n"/>
      <c r="AU188" s="65" t="n"/>
      <c r="AV188" s="6" t="n"/>
      <c r="AW188" s="65" t="n"/>
      <c r="AX188" s="6" t="n"/>
      <c r="AY188" s="65" t="n"/>
      <c r="AZ188" s="6" t="n"/>
      <c r="BA188" s="65" t="n"/>
      <c r="BB188" s="5" t="n"/>
      <c r="BC188" s="6" t="n"/>
      <c r="BD188" s="65" t="n"/>
      <c r="BE188" s="6" t="n"/>
      <c r="BF188" s="64" t="n"/>
      <c r="BG188" s="5" t="n"/>
      <c r="BH188" s="6" t="n"/>
      <c r="BI188" s="66" t="n"/>
      <c r="BJ188" s="5" t="n"/>
      <c r="BK188" s="40" t="n"/>
    </row>
    <row r="189" ht="20" customHeight="1">
      <c r="A189" s="59" t="n"/>
      <c r="B189" s="6" t="n"/>
      <c r="C189" s="60" t="n"/>
      <c r="D189" s="5" t="n"/>
      <c r="E189" s="5" t="n"/>
      <c r="F189" s="6" t="n"/>
      <c r="G189" s="60" t="n"/>
      <c r="H189" s="5" t="n"/>
      <c r="I189" s="6" t="n"/>
      <c r="J189" s="60" t="n"/>
      <c r="K189" s="5" t="n"/>
      <c r="L189" s="6" t="n"/>
      <c r="M189" s="60" t="n"/>
      <c r="N189" s="5" t="n"/>
      <c r="O189" s="5" t="n"/>
      <c r="P189" s="5" t="n"/>
      <c r="Q189" s="6" t="n"/>
      <c r="R189" s="60" t="n"/>
      <c r="S189" s="5" t="n"/>
      <c r="T189" s="5" t="n"/>
      <c r="U189" s="5" t="n"/>
      <c r="V189" s="5" t="n"/>
      <c r="W189" s="5" t="n"/>
      <c r="X189" s="6" t="n"/>
      <c r="Y189" s="60" t="n"/>
      <c r="Z189" s="5" t="n"/>
      <c r="AA189" s="5" t="n"/>
      <c r="AB189" s="5" t="n"/>
      <c r="AC189" s="5" t="n"/>
      <c r="AD189" s="6" t="n"/>
      <c r="AE189" s="61" t="n"/>
      <c r="AF189" s="6" t="n"/>
      <c r="AG189" s="61" t="n"/>
      <c r="AH189" s="6" t="n"/>
      <c r="AI189" s="61" t="n"/>
      <c r="AJ189" s="6" t="n"/>
      <c r="AK189" s="61" t="n"/>
      <c r="AL189" s="6" t="n"/>
      <c r="AM189" s="61" t="n"/>
      <c r="AN189" s="5" t="n"/>
      <c r="AO189" s="6" t="n"/>
      <c r="AP189" s="61" t="n"/>
      <c r="AQ189" s="6" t="n"/>
      <c r="AR189" s="60" t="n"/>
      <c r="AS189" s="5" t="n"/>
      <c r="AT189" s="6" t="n"/>
      <c r="AU189" s="61" t="n"/>
      <c r="AV189" s="6" t="n"/>
      <c r="AW189" s="61" t="n"/>
      <c r="AX189" s="6" t="n"/>
      <c r="AY189" s="61" t="n"/>
      <c r="AZ189" s="6" t="n"/>
      <c r="BA189" s="61" t="n"/>
      <c r="BB189" s="5" t="n"/>
      <c r="BC189" s="6" t="n"/>
      <c r="BD189" s="61" t="n"/>
      <c r="BE189" s="6" t="n"/>
      <c r="BF189" s="60" t="n"/>
      <c r="BG189" s="5" t="n"/>
      <c r="BH189" s="6" t="n"/>
      <c r="BI189" s="62" t="n"/>
      <c r="BJ189" s="5" t="n"/>
      <c r="BK189" s="40" t="n"/>
    </row>
    <row r="190" ht="20" customHeight="1">
      <c r="A190" s="63" t="n"/>
      <c r="B190" s="6" t="n"/>
      <c r="C190" s="64" t="n"/>
      <c r="D190" s="5" t="n"/>
      <c r="E190" s="5" t="n"/>
      <c r="F190" s="6" t="n"/>
      <c r="G190" s="64" t="n"/>
      <c r="H190" s="5" t="n"/>
      <c r="I190" s="6" t="n"/>
      <c r="J190" s="64" t="n"/>
      <c r="K190" s="5" t="n"/>
      <c r="L190" s="6" t="n"/>
      <c r="M190" s="64" t="n"/>
      <c r="N190" s="5" t="n"/>
      <c r="O190" s="5" t="n"/>
      <c r="P190" s="5" t="n"/>
      <c r="Q190" s="6" t="n"/>
      <c r="R190" s="64" t="n"/>
      <c r="S190" s="5" t="n"/>
      <c r="T190" s="5" t="n"/>
      <c r="U190" s="5" t="n"/>
      <c r="V190" s="5" t="n"/>
      <c r="W190" s="5" t="n"/>
      <c r="X190" s="6" t="n"/>
      <c r="Y190" s="64" t="n"/>
      <c r="Z190" s="5" t="n"/>
      <c r="AA190" s="5" t="n"/>
      <c r="AB190" s="5" t="n"/>
      <c r="AC190" s="5" t="n"/>
      <c r="AD190" s="6" t="n"/>
      <c r="AE190" s="65" t="n"/>
      <c r="AF190" s="6" t="n"/>
      <c r="AG190" s="65" t="n"/>
      <c r="AH190" s="6" t="n"/>
      <c r="AI190" s="65" t="n"/>
      <c r="AJ190" s="6" t="n"/>
      <c r="AK190" s="65" t="n"/>
      <c r="AL190" s="6" t="n"/>
      <c r="AM190" s="65" t="n"/>
      <c r="AN190" s="5" t="n"/>
      <c r="AO190" s="6" t="n"/>
      <c r="AP190" s="65" t="n"/>
      <c r="AQ190" s="6" t="n"/>
      <c r="AR190" s="64" t="n"/>
      <c r="AS190" s="5" t="n"/>
      <c r="AT190" s="6" t="n"/>
      <c r="AU190" s="65" t="n"/>
      <c r="AV190" s="6" t="n"/>
      <c r="AW190" s="65" t="n"/>
      <c r="AX190" s="6" t="n"/>
      <c r="AY190" s="65" t="n"/>
      <c r="AZ190" s="6" t="n"/>
      <c r="BA190" s="65" t="n"/>
      <c r="BB190" s="5" t="n"/>
      <c r="BC190" s="6" t="n"/>
      <c r="BD190" s="65" t="n"/>
      <c r="BE190" s="6" t="n"/>
      <c r="BF190" s="64" t="n"/>
      <c r="BG190" s="5" t="n"/>
      <c r="BH190" s="6" t="n"/>
      <c r="BI190" s="66" t="n"/>
      <c r="BJ190" s="5" t="n"/>
      <c r="BK190" s="40" t="n"/>
    </row>
    <row r="191" ht="20" customHeight="1">
      <c r="A191" s="59" t="n"/>
      <c r="B191" s="6" t="n"/>
      <c r="C191" s="60" t="n"/>
      <c r="D191" s="5" t="n"/>
      <c r="E191" s="5" t="n"/>
      <c r="F191" s="6" t="n"/>
      <c r="G191" s="60" t="n"/>
      <c r="H191" s="5" t="n"/>
      <c r="I191" s="6" t="n"/>
      <c r="J191" s="60" t="n"/>
      <c r="K191" s="5" t="n"/>
      <c r="L191" s="6" t="n"/>
      <c r="M191" s="60" t="n"/>
      <c r="N191" s="5" t="n"/>
      <c r="O191" s="5" t="n"/>
      <c r="P191" s="5" t="n"/>
      <c r="Q191" s="6" t="n"/>
      <c r="R191" s="60" t="n"/>
      <c r="S191" s="5" t="n"/>
      <c r="T191" s="5" t="n"/>
      <c r="U191" s="5" t="n"/>
      <c r="V191" s="5" t="n"/>
      <c r="W191" s="5" t="n"/>
      <c r="X191" s="6" t="n"/>
      <c r="Y191" s="60" t="n"/>
      <c r="Z191" s="5" t="n"/>
      <c r="AA191" s="5" t="n"/>
      <c r="AB191" s="5" t="n"/>
      <c r="AC191" s="5" t="n"/>
      <c r="AD191" s="6" t="n"/>
      <c r="AE191" s="61" t="n"/>
      <c r="AF191" s="6" t="n"/>
      <c r="AG191" s="61" t="n"/>
      <c r="AH191" s="6" t="n"/>
      <c r="AI191" s="61" t="n"/>
      <c r="AJ191" s="6" t="n"/>
      <c r="AK191" s="61" t="n"/>
      <c r="AL191" s="6" t="n"/>
      <c r="AM191" s="61" t="n"/>
      <c r="AN191" s="5" t="n"/>
      <c r="AO191" s="6" t="n"/>
      <c r="AP191" s="61" t="n"/>
      <c r="AQ191" s="6" t="n"/>
      <c r="AR191" s="60" t="n"/>
      <c r="AS191" s="5" t="n"/>
      <c r="AT191" s="6" t="n"/>
      <c r="AU191" s="61" t="n"/>
      <c r="AV191" s="6" t="n"/>
      <c r="AW191" s="61" t="n"/>
      <c r="AX191" s="6" t="n"/>
      <c r="AY191" s="61" t="n"/>
      <c r="AZ191" s="6" t="n"/>
      <c r="BA191" s="61" t="n"/>
      <c r="BB191" s="5" t="n"/>
      <c r="BC191" s="6" t="n"/>
      <c r="BD191" s="61" t="n"/>
      <c r="BE191" s="6" t="n"/>
      <c r="BF191" s="60" t="n"/>
      <c r="BG191" s="5" t="n"/>
      <c r="BH191" s="6" t="n"/>
      <c r="BI191" s="62" t="n"/>
      <c r="BJ191" s="5" t="n"/>
      <c r="BK191" s="40" t="n"/>
    </row>
    <row r="192" ht="20" customHeight="1">
      <c r="A192" s="63" t="n"/>
      <c r="B192" s="6" t="n"/>
      <c r="C192" s="64" t="n"/>
      <c r="D192" s="5" t="n"/>
      <c r="E192" s="5" t="n"/>
      <c r="F192" s="6" t="n"/>
      <c r="G192" s="64" t="n"/>
      <c r="H192" s="5" t="n"/>
      <c r="I192" s="6" t="n"/>
      <c r="J192" s="64" t="n"/>
      <c r="K192" s="5" t="n"/>
      <c r="L192" s="6" t="n"/>
      <c r="M192" s="64" t="n"/>
      <c r="N192" s="5" t="n"/>
      <c r="O192" s="5" t="n"/>
      <c r="P192" s="5" t="n"/>
      <c r="Q192" s="6" t="n"/>
      <c r="R192" s="64" t="n"/>
      <c r="S192" s="5" t="n"/>
      <c r="T192" s="5" t="n"/>
      <c r="U192" s="5" t="n"/>
      <c r="V192" s="5" t="n"/>
      <c r="W192" s="5" t="n"/>
      <c r="X192" s="6" t="n"/>
      <c r="Y192" s="64" t="n"/>
      <c r="Z192" s="5" t="n"/>
      <c r="AA192" s="5" t="n"/>
      <c r="AB192" s="5" t="n"/>
      <c r="AC192" s="5" t="n"/>
      <c r="AD192" s="6" t="n"/>
      <c r="AE192" s="65" t="n"/>
      <c r="AF192" s="6" t="n"/>
      <c r="AG192" s="65" t="n"/>
      <c r="AH192" s="6" t="n"/>
      <c r="AI192" s="65" t="n"/>
      <c r="AJ192" s="6" t="n"/>
      <c r="AK192" s="65" t="n"/>
      <c r="AL192" s="6" t="n"/>
      <c r="AM192" s="65" t="n"/>
      <c r="AN192" s="5" t="n"/>
      <c r="AO192" s="6" t="n"/>
      <c r="AP192" s="65" t="n"/>
      <c r="AQ192" s="6" t="n"/>
      <c r="AR192" s="64" t="n"/>
      <c r="AS192" s="5" t="n"/>
      <c r="AT192" s="6" t="n"/>
      <c r="AU192" s="65" t="n"/>
      <c r="AV192" s="6" t="n"/>
      <c r="AW192" s="65" t="n"/>
      <c r="AX192" s="6" t="n"/>
      <c r="AY192" s="65" t="n"/>
      <c r="AZ192" s="6" t="n"/>
      <c r="BA192" s="65" t="n"/>
      <c r="BB192" s="5" t="n"/>
      <c r="BC192" s="6" t="n"/>
      <c r="BD192" s="65" t="n"/>
      <c r="BE192" s="6" t="n"/>
      <c r="BF192" s="64" t="n"/>
      <c r="BG192" s="5" t="n"/>
      <c r="BH192" s="6" t="n"/>
      <c r="BI192" s="66" t="n"/>
      <c r="BJ192" s="5" t="n"/>
      <c r="BK192" s="40" t="n"/>
    </row>
    <row r="193" ht="20" customHeight="1">
      <c r="A193" s="59" t="n"/>
      <c r="B193" s="6" t="n"/>
      <c r="C193" s="60" t="n"/>
      <c r="D193" s="5" t="n"/>
      <c r="E193" s="5" t="n"/>
      <c r="F193" s="6" t="n"/>
      <c r="G193" s="60" t="n"/>
      <c r="H193" s="5" t="n"/>
      <c r="I193" s="6" t="n"/>
      <c r="J193" s="60" t="n"/>
      <c r="K193" s="5" t="n"/>
      <c r="L193" s="6" t="n"/>
      <c r="M193" s="60" t="n"/>
      <c r="N193" s="5" t="n"/>
      <c r="O193" s="5" t="n"/>
      <c r="P193" s="5" t="n"/>
      <c r="Q193" s="6" t="n"/>
      <c r="R193" s="60" t="n"/>
      <c r="S193" s="5" t="n"/>
      <c r="T193" s="5" t="n"/>
      <c r="U193" s="5" t="n"/>
      <c r="V193" s="5" t="n"/>
      <c r="W193" s="5" t="n"/>
      <c r="X193" s="6" t="n"/>
      <c r="Y193" s="60" t="n"/>
      <c r="Z193" s="5" t="n"/>
      <c r="AA193" s="5" t="n"/>
      <c r="AB193" s="5" t="n"/>
      <c r="AC193" s="5" t="n"/>
      <c r="AD193" s="6" t="n"/>
      <c r="AE193" s="61" t="n"/>
      <c r="AF193" s="6" t="n"/>
      <c r="AG193" s="61" t="n"/>
      <c r="AH193" s="6" t="n"/>
      <c r="AI193" s="61" t="n"/>
      <c r="AJ193" s="6" t="n"/>
      <c r="AK193" s="61" t="n"/>
      <c r="AL193" s="6" t="n"/>
      <c r="AM193" s="61" t="n"/>
      <c r="AN193" s="5" t="n"/>
      <c r="AO193" s="6" t="n"/>
      <c r="AP193" s="61" t="n"/>
      <c r="AQ193" s="6" t="n"/>
      <c r="AR193" s="60" t="n"/>
      <c r="AS193" s="5" t="n"/>
      <c r="AT193" s="6" t="n"/>
      <c r="AU193" s="61" t="n"/>
      <c r="AV193" s="6" t="n"/>
      <c r="AW193" s="61" t="n"/>
      <c r="AX193" s="6" t="n"/>
      <c r="AY193" s="61" t="n"/>
      <c r="AZ193" s="6" t="n"/>
      <c r="BA193" s="61" t="n"/>
      <c r="BB193" s="5" t="n"/>
      <c r="BC193" s="6" t="n"/>
      <c r="BD193" s="61" t="n"/>
      <c r="BE193" s="6" t="n"/>
      <c r="BF193" s="60" t="n"/>
      <c r="BG193" s="5" t="n"/>
      <c r="BH193" s="6" t="n"/>
      <c r="BI193" s="62" t="n"/>
      <c r="BJ193" s="5" t="n"/>
      <c r="BK193" s="40" t="n"/>
    </row>
    <row r="194" ht="20" customHeight="1">
      <c r="A194" s="63" t="n"/>
      <c r="B194" s="6" t="n"/>
      <c r="C194" s="64" t="n"/>
      <c r="D194" s="5" t="n"/>
      <c r="E194" s="5" t="n"/>
      <c r="F194" s="6" t="n"/>
      <c r="G194" s="64" t="n"/>
      <c r="H194" s="5" t="n"/>
      <c r="I194" s="6" t="n"/>
      <c r="J194" s="64" t="n"/>
      <c r="K194" s="5" t="n"/>
      <c r="L194" s="6" t="n"/>
      <c r="M194" s="64" t="n"/>
      <c r="N194" s="5" t="n"/>
      <c r="O194" s="5" t="n"/>
      <c r="P194" s="5" t="n"/>
      <c r="Q194" s="6" t="n"/>
      <c r="R194" s="64" t="n"/>
      <c r="S194" s="5" t="n"/>
      <c r="T194" s="5" t="n"/>
      <c r="U194" s="5" t="n"/>
      <c r="V194" s="5" t="n"/>
      <c r="W194" s="5" t="n"/>
      <c r="X194" s="6" t="n"/>
      <c r="Y194" s="64" t="n"/>
      <c r="Z194" s="5" t="n"/>
      <c r="AA194" s="5" t="n"/>
      <c r="AB194" s="5" t="n"/>
      <c r="AC194" s="5" t="n"/>
      <c r="AD194" s="6" t="n"/>
      <c r="AE194" s="65" t="n"/>
      <c r="AF194" s="6" t="n"/>
      <c r="AG194" s="65" t="n"/>
      <c r="AH194" s="6" t="n"/>
      <c r="AI194" s="65" t="n"/>
      <c r="AJ194" s="6" t="n"/>
      <c r="AK194" s="65" t="n"/>
      <c r="AL194" s="6" t="n"/>
      <c r="AM194" s="65" t="n"/>
      <c r="AN194" s="5" t="n"/>
      <c r="AO194" s="6" t="n"/>
      <c r="AP194" s="65" t="n"/>
      <c r="AQ194" s="6" t="n"/>
      <c r="AR194" s="64" t="n"/>
      <c r="AS194" s="5" t="n"/>
      <c r="AT194" s="6" t="n"/>
      <c r="AU194" s="65" t="n"/>
      <c r="AV194" s="6" t="n"/>
      <c r="AW194" s="65" t="n"/>
      <c r="AX194" s="6" t="n"/>
      <c r="AY194" s="65" t="n"/>
      <c r="AZ194" s="6" t="n"/>
      <c r="BA194" s="65" t="n"/>
      <c r="BB194" s="5" t="n"/>
      <c r="BC194" s="6" t="n"/>
      <c r="BD194" s="65" t="n"/>
      <c r="BE194" s="6" t="n"/>
      <c r="BF194" s="64" t="n"/>
      <c r="BG194" s="5" t="n"/>
      <c r="BH194" s="6" t="n"/>
      <c r="BI194" s="66" t="n"/>
      <c r="BJ194" s="5" t="n"/>
      <c r="BK194" s="40" t="n"/>
    </row>
    <row r="195" ht="20" customHeight="1">
      <c r="A195" s="59" t="n"/>
      <c r="B195" s="6" t="n"/>
      <c r="C195" s="60" t="n"/>
      <c r="D195" s="5" t="n"/>
      <c r="E195" s="5" t="n"/>
      <c r="F195" s="6" t="n"/>
      <c r="G195" s="60" t="n"/>
      <c r="H195" s="5" t="n"/>
      <c r="I195" s="6" t="n"/>
      <c r="J195" s="60" t="n"/>
      <c r="K195" s="5" t="n"/>
      <c r="L195" s="6" t="n"/>
      <c r="M195" s="60" t="n"/>
      <c r="N195" s="5" t="n"/>
      <c r="O195" s="5" t="n"/>
      <c r="P195" s="5" t="n"/>
      <c r="Q195" s="6" t="n"/>
      <c r="R195" s="60" t="n"/>
      <c r="S195" s="5" t="n"/>
      <c r="T195" s="5" t="n"/>
      <c r="U195" s="5" t="n"/>
      <c r="V195" s="5" t="n"/>
      <c r="W195" s="5" t="n"/>
      <c r="X195" s="6" t="n"/>
      <c r="Y195" s="60" t="n"/>
      <c r="Z195" s="5" t="n"/>
      <c r="AA195" s="5" t="n"/>
      <c r="AB195" s="5" t="n"/>
      <c r="AC195" s="5" t="n"/>
      <c r="AD195" s="6" t="n"/>
      <c r="AE195" s="61" t="n"/>
      <c r="AF195" s="6" t="n"/>
      <c r="AG195" s="61" t="n"/>
      <c r="AH195" s="6" t="n"/>
      <c r="AI195" s="61" t="n"/>
      <c r="AJ195" s="6" t="n"/>
      <c r="AK195" s="61" t="n"/>
      <c r="AL195" s="6" t="n"/>
      <c r="AM195" s="61" t="n"/>
      <c r="AN195" s="5" t="n"/>
      <c r="AO195" s="6" t="n"/>
      <c r="AP195" s="61" t="n"/>
      <c r="AQ195" s="6" t="n"/>
      <c r="AR195" s="60" t="n"/>
      <c r="AS195" s="5" t="n"/>
      <c r="AT195" s="6" t="n"/>
      <c r="AU195" s="61" t="n"/>
      <c r="AV195" s="6" t="n"/>
      <c r="AW195" s="61" t="n"/>
      <c r="AX195" s="6" t="n"/>
      <c r="AY195" s="61" t="n"/>
      <c r="AZ195" s="6" t="n"/>
      <c r="BA195" s="61" t="n"/>
      <c r="BB195" s="5" t="n"/>
      <c r="BC195" s="6" t="n"/>
      <c r="BD195" s="61" t="n"/>
      <c r="BE195" s="6" t="n"/>
      <c r="BF195" s="60" t="n"/>
      <c r="BG195" s="5" t="n"/>
      <c r="BH195" s="6" t="n"/>
      <c r="BI195" s="62" t="n"/>
      <c r="BJ195" s="5" t="n"/>
      <c r="BK195" s="40" t="n"/>
    </row>
    <row r="196" ht="20" customHeight="1">
      <c r="A196" s="63" t="n"/>
      <c r="B196" s="6" t="n"/>
      <c r="C196" s="64" t="n"/>
      <c r="D196" s="5" t="n"/>
      <c r="E196" s="5" t="n"/>
      <c r="F196" s="6" t="n"/>
      <c r="G196" s="64" t="n"/>
      <c r="H196" s="5" t="n"/>
      <c r="I196" s="6" t="n"/>
      <c r="J196" s="64" t="n"/>
      <c r="K196" s="5" t="n"/>
      <c r="L196" s="6" t="n"/>
      <c r="M196" s="64" t="n"/>
      <c r="N196" s="5" t="n"/>
      <c r="O196" s="5" t="n"/>
      <c r="P196" s="5" t="n"/>
      <c r="Q196" s="6" t="n"/>
      <c r="R196" s="64" t="n"/>
      <c r="S196" s="5" t="n"/>
      <c r="T196" s="5" t="n"/>
      <c r="U196" s="5" t="n"/>
      <c r="V196" s="5" t="n"/>
      <c r="W196" s="5" t="n"/>
      <c r="X196" s="6" t="n"/>
      <c r="Y196" s="64" t="n"/>
      <c r="Z196" s="5" t="n"/>
      <c r="AA196" s="5" t="n"/>
      <c r="AB196" s="5" t="n"/>
      <c r="AC196" s="5" t="n"/>
      <c r="AD196" s="6" t="n"/>
      <c r="AE196" s="65" t="n"/>
      <c r="AF196" s="6" t="n"/>
      <c r="AG196" s="65" t="n"/>
      <c r="AH196" s="6" t="n"/>
      <c r="AI196" s="65" t="n"/>
      <c r="AJ196" s="6" t="n"/>
      <c r="AK196" s="65" t="n"/>
      <c r="AL196" s="6" t="n"/>
      <c r="AM196" s="65" t="n"/>
      <c r="AN196" s="5" t="n"/>
      <c r="AO196" s="6" t="n"/>
      <c r="AP196" s="65" t="n"/>
      <c r="AQ196" s="6" t="n"/>
      <c r="AR196" s="64" t="n"/>
      <c r="AS196" s="5" t="n"/>
      <c r="AT196" s="6" t="n"/>
      <c r="AU196" s="65" t="n"/>
      <c r="AV196" s="6" t="n"/>
      <c r="AW196" s="65" t="n"/>
      <c r="AX196" s="6" t="n"/>
      <c r="AY196" s="65" t="n"/>
      <c r="AZ196" s="6" t="n"/>
      <c r="BA196" s="65" t="n"/>
      <c r="BB196" s="5" t="n"/>
      <c r="BC196" s="6" t="n"/>
      <c r="BD196" s="65" t="n"/>
      <c r="BE196" s="6" t="n"/>
      <c r="BF196" s="64" t="n"/>
      <c r="BG196" s="5" t="n"/>
      <c r="BH196" s="6" t="n"/>
      <c r="BI196" s="66" t="n"/>
      <c r="BJ196" s="5" t="n"/>
      <c r="BK196" s="40" t="n"/>
    </row>
    <row r="197" ht="20" customHeight="1">
      <c r="A197" s="59" t="n"/>
      <c r="B197" s="6" t="n"/>
      <c r="C197" s="60" t="n"/>
      <c r="D197" s="5" t="n"/>
      <c r="E197" s="5" t="n"/>
      <c r="F197" s="6" t="n"/>
      <c r="G197" s="60" t="n"/>
      <c r="H197" s="5" t="n"/>
      <c r="I197" s="6" t="n"/>
      <c r="J197" s="60" t="n"/>
      <c r="K197" s="5" t="n"/>
      <c r="L197" s="6" t="n"/>
      <c r="M197" s="60" t="n"/>
      <c r="N197" s="5" t="n"/>
      <c r="O197" s="5" t="n"/>
      <c r="P197" s="5" t="n"/>
      <c r="Q197" s="6" t="n"/>
      <c r="R197" s="60" t="n"/>
      <c r="S197" s="5" t="n"/>
      <c r="T197" s="5" t="n"/>
      <c r="U197" s="5" t="n"/>
      <c r="V197" s="5" t="n"/>
      <c r="W197" s="5" t="n"/>
      <c r="X197" s="6" t="n"/>
      <c r="Y197" s="60" t="n"/>
      <c r="Z197" s="5" t="n"/>
      <c r="AA197" s="5" t="n"/>
      <c r="AB197" s="5" t="n"/>
      <c r="AC197" s="5" t="n"/>
      <c r="AD197" s="6" t="n"/>
      <c r="AE197" s="61" t="n"/>
      <c r="AF197" s="6" t="n"/>
      <c r="AG197" s="61" t="n"/>
      <c r="AH197" s="6" t="n"/>
      <c r="AI197" s="61" t="n"/>
      <c r="AJ197" s="6" t="n"/>
      <c r="AK197" s="61" t="n"/>
      <c r="AL197" s="6" t="n"/>
      <c r="AM197" s="61" t="n"/>
      <c r="AN197" s="5" t="n"/>
      <c r="AO197" s="6" t="n"/>
      <c r="AP197" s="61" t="n"/>
      <c r="AQ197" s="6" t="n"/>
      <c r="AR197" s="60" t="n"/>
      <c r="AS197" s="5" t="n"/>
      <c r="AT197" s="6" t="n"/>
      <c r="AU197" s="61" t="n"/>
      <c r="AV197" s="6" t="n"/>
      <c r="AW197" s="61" t="n"/>
      <c r="AX197" s="6" t="n"/>
      <c r="AY197" s="61" t="n"/>
      <c r="AZ197" s="6" t="n"/>
      <c r="BA197" s="61" t="n"/>
      <c r="BB197" s="5" t="n"/>
      <c r="BC197" s="6" t="n"/>
      <c r="BD197" s="61" t="n"/>
      <c r="BE197" s="6" t="n"/>
      <c r="BF197" s="60" t="n"/>
      <c r="BG197" s="5" t="n"/>
      <c r="BH197" s="6" t="n"/>
      <c r="BI197" s="62" t="n"/>
      <c r="BJ197" s="5" t="n"/>
      <c r="BK197" s="40" t="n"/>
    </row>
    <row r="198" ht="20" customHeight="1">
      <c r="A198" s="63" t="n"/>
      <c r="B198" s="6" t="n"/>
      <c r="C198" s="64" t="n"/>
      <c r="D198" s="5" t="n"/>
      <c r="E198" s="5" t="n"/>
      <c r="F198" s="6" t="n"/>
      <c r="G198" s="64" t="n"/>
      <c r="H198" s="5" t="n"/>
      <c r="I198" s="6" t="n"/>
      <c r="J198" s="64" t="n"/>
      <c r="K198" s="5" t="n"/>
      <c r="L198" s="6" t="n"/>
      <c r="M198" s="64" t="n"/>
      <c r="N198" s="5" t="n"/>
      <c r="O198" s="5" t="n"/>
      <c r="P198" s="5" t="n"/>
      <c r="Q198" s="6" t="n"/>
      <c r="R198" s="64" t="n"/>
      <c r="S198" s="5" t="n"/>
      <c r="T198" s="5" t="n"/>
      <c r="U198" s="5" t="n"/>
      <c r="V198" s="5" t="n"/>
      <c r="W198" s="5" t="n"/>
      <c r="X198" s="6" t="n"/>
      <c r="Y198" s="64" t="n"/>
      <c r="Z198" s="5" t="n"/>
      <c r="AA198" s="5" t="n"/>
      <c r="AB198" s="5" t="n"/>
      <c r="AC198" s="5" t="n"/>
      <c r="AD198" s="6" t="n"/>
      <c r="AE198" s="65" t="n"/>
      <c r="AF198" s="6" t="n"/>
      <c r="AG198" s="65" t="n"/>
      <c r="AH198" s="6" t="n"/>
      <c r="AI198" s="65" t="n"/>
      <c r="AJ198" s="6" t="n"/>
      <c r="AK198" s="65" t="n"/>
      <c r="AL198" s="6" t="n"/>
      <c r="AM198" s="65" t="n"/>
      <c r="AN198" s="5" t="n"/>
      <c r="AO198" s="6" t="n"/>
      <c r="AP198" s="65" t="n"/>
      <c r="AQ198" s="6" t="n"/>
      <c r="AR198" s="64" t="n"/>
      <c r="AS198" s="5" t="n"/>
      <c r="AT198" s="6" t="n"/>
      <c r="AU198" s="65" t="n"/>
      <c r="AV198" s="6" t="n"/>
      <c r="AW198" s="65" t="n"/>
      <c r="AX198" s="6" t="n"/>
      <c r="AY198" s="65" t="n"/>
      <c r="AZ198" s="6" t="n"/>
      <c r="BA198" s="65" t="n"/>
      <c r="BB198" s="5" t="n"/>
      <c r="BC198" s="6" t="n"/>
      <c r="BD198" s="65" t="n"/>
      <c r="BE198" s="6" t="n"/>
      <c r="BF198" s="64" t="n"/>
      <c r="BG198" s="5" t="n"/>
      <c r="BH198" s="6" t="n"/>
      <c r="BI198" s="66" t="n"/>
      <c r="BJ198" s="5" t="n"/>
      <c r="BK198" s="40" t="n"/>
    </row>
    <row r="199" ht="20" customHeight="1">
      <c r="A199" s="59" t="n"/>
      <c r="B199" s="6" t="n"/>
      <c r="C199" s="60" t="n"/>
      <c r="D199" s="5" t="n"/>
      <c r="E199" s="5" t="n"/>
      <c r="F199" s="6" t="n"/>
      <c r="G199" s="60" t="n"/>
      <c r="H199" s="5" t="n"/>
      <c r="I199" s="6" t="n"/>
      <c r="J199" s="60" t="n"/>
      <c r="K199" s="5" t="n"/>
      <c r="L199" s="6" t="n"/>
      <c r="M199" s="60" t="n"/>
      <c r="N199" s="5" t="n"/>
      <c r="O199" s="5" t="n"/>
      <c r="P199" s="5" t="n"/>
      <c r="Q199" s="6" t="n"/>
      <c r="R199" s="60" t="n"/>
      <c r="S199" s="5" t="n"/>
      <c r="T199" s="5" t="n"/>
      <c r="U199" s="5" t="n"/>
      <c r="V199" s="5" t="n"/>
      <c r="W199" s="5" t="n"/>
      <c r="X199" s="6" t="n"/>
      <c r="Y199" s="60" t="n"/>
      <c r="Z199" s="5" t="n"/>
      <c r="AA199" s="5" t="n"/>
      <c r="AB199" s="5" t="n"/>
      <c r="AC199" s="5" t="n"/>
      <c r="AD199" s="6" t="n"/>
      <c r="AE199" s="61" t="n"/>
      <c r="AF199" s="6" t="n"/>
      <c r="AG199" s="61" t="n"/>
      <c r="AH199" s="6" t="n"/>
      <c r="AI199" s="61" t="n"/>
      <c r="AJ199" s="6" t="n"/>
      <c r="AK199" s="61" t="n"/>
      <c r="AL199" s="6" t="n"/>
      <c r="AM199" s="61" t="n"/>
      <c r="AN199" s="5" t="n"/>
      <c r="AO199" s="6" t="n"/>
      <c r="AP199" s="61" t="n"/>
      <c r="AQ199" s="6" t="n"/>
      <c r="AR199" s="60" t="n"/>
      <c r="AS199" s="5" t="n"/>
      <c r="AT199" s="6" t="n"/>
      <c r="AU199" s="61" t="n"/>
      <c r="AV199" s="6" t="n"/>
      <c r="AW199" s="61" t="n"/>
      <c r="AX199" s="6" t="n"/>
      <c r="AY199" s="61" t="n"/>
      <c r="AZ199" s="6" t="n"/>
      <c r="BA199" s="61" t="n"/>
      <c r="BB199" s="5" t="n"/>
      <c r="BC199" s="6" t="n"/>
      <c r="BD199" s="61" t="n"/>
      <c r="BE199" s="6" t="n"/>
      <c r="BF199" s="60" t="n"/>
      <c r="BG199" s="5" t="n"/>
      <c r="BH199" s="6" t="n"/>
      <c r="BI199" s="62" t="n"/>
      <c r="BJ199" s="5" t="n"/>
      <c r="BK199" s="40" t="n"/>
    </row>
    <row r="200" ht="20" customHeight="1">
      <c r="A200" s="67" t="n"/>
      <c r="B200" s="46" t="n"/>
      <c r="C200" s="68" t="n"/>
      <c r="D200" s="45" t="n"/>
      <c r="E200" s="45" t="n"/>
      <c r="F200" s="46" t="n"/>
      <c r="G200" s="68" t="n"/>
      <c r="H200" s="45" t="n"/>
      <c r="I200" s="46" t="n"/>
      <c r="J200" s="68" t="n"/>
      <c r="K200" s="45" t="n"/>
      <c r="L200" s="46" t="n"/>
      <c r="M200" s="68" t="n"/>
      <c r="N200" s="45" t="n"/>
      <c r="O200" s="45" t="n"/>
      <c r="P200" s="45" t="n"/>
      <c r="Q200" s="46" t="n"/>
      <c r="R200" s="68" t="n"/>
      <c r="S200" s="45" t="n"/>
      <c r="T200" s="45" t="n"/>
      <c r="U200" s="45" t="n"/>
      <c r="V200" s="45" t="n"/>
      <c r="W200" s="45" t="n"/>
      <c r="X200" s="46" t="n"/>
      <c r="Y200" s="68" t="n"/>
      <c r="Z200" s="45" t="n"/>
      <c r="AA200" s="45" t="n"/>
      <c r="AB200" s="45" t="n"/>
      <c r="AC200" s="45" t="n"/>
      <c r="AD200" s="46" t="n"/>
      <c r="AE200" s="69" t="n"/>
      <c r="AF200" s="46" t="n"/>
      <c r="AG200" s="69" t="n"/>
      <c r="AH200" s="46" t="n"/>
      <c r="AI200" s="69" t="n"/>
      <c r="AJ200" s="46" t="n"/>
      <c r="AK200" s="69" t="n"/>
      <c r="AL200" s="46" t="n"/>
      <c r="AM200" s="69" t="n"/>
      <c r="AN200" s="45" t="n"/>
      <c r="AO200" s="46" t="n"/>
      <c r="AP200" s="69" t="n"/>
      <c r="AQ200" s="46" t="n"/>
      <c r="AR200" s="68" t="n"/>
      <c r="AS200" s="45" t="n"/>
      <c r="AT200" s="46" t="n"/>
      <c r="AU200" s="69" t="n"/>
      <c r="AV200" s="46" t="n"/>
      <c r="AW200" s="69" t="n"/>
      <c r="AX200" s="46" t="n"/>
      <c r="AY200" s="69" t="n"/>
      <c r="AZ200" s="46" t="n"/>
      <c r="BA200" s="69" t="n"/>
      <c r="BB200" s="45" t="n"/>
      <c r="BC200" s="46" t="n"/>
      <c r="BD200" s="69" t="n"/>
      <c r="BE200" s="46" t="n"/>
      <c r="BF200" s="68" t="n"/>
      <c r="BG200" s="45" t="n"/>
      <c r="BH200" s="46" t="n"/>
      <c r="BI200" s="70" t="n"/>
      <c r="BJ200" s="45" t="n"/>
      <c r="BK200" s="49" t="n"/>
    </row>
  </sheetData>
  <mergeCells count="4145">
    <mergeCell ref="M34:Q34"/>
    <mergeCell ref="BF186:BH186"/>
    <mergeCell ref="G112:I112"/>
    <mergeCell ref="J151:L151"/>
    <mergeCell ref="AK185:AL185"/>
    <mergeCell ref="AI87:AJ87"/>
    <mergeCell ref="AU182:AV182"/>
    <mergeCell ref="AG54:AH54"/>
    <mergeCell ref="BF57:BH57"/>
    <mergeCell ref="AW98:AX98"/>
    <mergeCell ref="AK62:AL62"/>
    <mergeCell ref="AK193:AL193"/>
    <mergeCell ref="AR16:AT16"/>
    <mergeCell ref="BF23:BH23"/>
    <mergeCell ref="AP110:AQ110"/>
    <mergeCell ref="R18:X18"/>
    <mergeCell ref="AG56:AH56"/>
    <mergeCell ref="AE105:AF105"/>
    <mergeCell ref="AR174:AT174"/>
    <mergeCell ref="BF181:BH181"/>
    <mergeCell ref="AM128:AO128"/>
    <mergeCell ref="C62:F62"/>
    <mergeCell ref="AU177:AV177"/>
    <mergeCell ref="AR45:AT45"/>
    <mergeCell ref="J50:L50"/>
    <mergeCell ref="AI145:AJ145"/>
    <mergeCell ref="AR17:AT17"/>
    <mergeCell ref="AR11:AT11"/>
    <mergeCell ref="G16:I16"/>
    <mergeCell ref="C187:F187"/>
    <mergeCell ref="R19:X19"/>
    <mergeCell ref="C64:F64"/>
    <mergeCell ref="AR47:AT47"/>
    <mergeCell ref="BA63:BC63"/>
    <mergeCell ref="AI138:AJ138"/>
    <mergeCell ref="Y32:AD32"/>
    <mergeCell ref="J52:L52"/>
    <mergeCell ref="AY35:AZ35"/>
    <mergeCell ref="G9:I9"/>
    <mergeCell ref="AR42:AT42"/>
    <mergeCell ref="BA71:BC71"/>
    <mergeCell ref="C93:F93"/>
    <mergeCell ref="BI58:BK58"/>
    <mergeCell ref="BD127:BE127"/>
    <mergeCell ref="BD133:BE133"/>
    <mergeCell ref="AP136:AQ136"/>
    <mergeCell ref="AE34:AF34"/>
    <mergeCell ref="AE9:AF9"/>
    <mergeCell ref="J81:L81"/>
    <mergeCell ref="AI140:AJ140"/>
    <mergeCell ref="G36:I36"/>
    <mergeCell ref="AU53:AV53"/>
    <mergeCell ref="M91:Q91"/>
    <mergeCell ref="AW109:AX109"/>
    <mergeCell ref="BF199:BH199"/>
    <mergeCell ref="AP7:AQ7"/>
    <mergeCell ref="AR71:AT71"/>
    <mergeCell ref="AY30:AZ30"/>
    <mergeCell ref="AE36:AF36"/>
    <mergeCell ref="AE11:AF11"/>
    <mergeCell ref="AR37:AT37"/>
    <mergeCell ref="M93:Q93"/>
    <mergeCell ref="AK75:AL75"/>
    <mergeCell ref="AR73:AT73"/>
    <mergeCell ref="AY86:AZ86"/>
    <mergeCell ref="AG100:AH100"/>
    <mergeCell ref="AG94:AH94"/>
    <mergeCell ref="AU107:AV107"/>
    <mergeCell ref="Y50:AD50"/>
    <mergeCell ref="G69:I69"/>
    <mergeCell ref="J70:L70"/>
    <mergeCell ref="R72:X72"/>
    <mergeCell ref="AE31:AF31"/>
    <mergeCell ref="BD153:BE153"/>
    <mergeCell ref="AI166:AJ166"/>
    <mergeCell ref="Y60:AD60"/>
    <mergeCell ref="Y16:AD16"/>
    <mergeCell ref="C111:F111"/>
    <mergeCell ref="J63:L63"/>
    <mergeCell ref="AI158:AJ158"/>
    <mergeCell ref="Y52:AD52"/>
    <mergeCell ref="M20:Q20"/>
    <mergeCell ref="Y174:AD174"/>
    <mergeCell ref="C83:F83"/>
    <mergeCell ref="AI168:AJ168"/>
    <mergeCell ref="AY81:AZ81"/>
    <mergeCell ref="AG95:AH95"/>
    <mergeCell ref="BI80:BK80"/>
    <mergeCell ref="AE62:AF62"/>
    <mergeCell ref="M109:Q109"/>
    <mergeCell ref="Y18:AD18"/>
    <mergeCell ref="Y45:AD45"/>
    <mergeCell ref="G64:I64"/>
    <mergeCell ref="AI160:AJ160"/>
    <mergeCell ref="M22:Q22"/>
    <mergeCell ref="A192:B192"/>
    <mergeCell ref="M75:Q75"/>
    <mergeCell ref="AP60:AQ60"/>
    <mergeCell ref="BF34:BH34"/>
    <mergeCell ref="AM55:AO55"/>
    <mergeCell ref="AG97:AH97"/>
    <mergeCell ref="AE64:AF64"/>
    <mergeCell ref="R88:X88"/>
    <mergeCell ref="AI153:AJ153"/>
    <mergeCell ref="AP149:AQ149"/>
    <mergeCell ref="M15:Q15"/>
    <mergeCell ref="A194:B194"/>
    <mergeCell ref="M104:Q104"/>
    <mergeCell ref="AE57:AF57"/>
    <mergeCell ref="R90:X90"/>
    <mergeCell ref="AW41:AX41"/>
    <mergeCell ref="Y42:AD42"/>
    <mergeCell ref="C137:F137"/>
    <mergeCell ref="AP151:AQ151"/>
    <mergeCell ref="AI184:AJ184"/>
    <mergeCell ref="AM200:AO200"/>
    <mergeCell ref="AM194:AO194"/>
    <mergeCell ref="M106:Q106"/>
    <mergeCell ref="AR117:AT117"/>
    <mergeCell ref="R83:X83"/>
    <mergeCell ref="AG121:AH121"/>
    <mergeCell ref="BF124:BH124"/>
    <mergeCell ref="AW43:AX43"/>
    <mergeCell ref="AY105:AZ105"/>
    <mergeCell ref="Y71:AD71"/>
    <mergeCell ref="C139:F139"/>
    <mergeCell ref="AY99:AZ99"/>
    <mergeCell ref="BI8:BK8"/>
    <mergeCell ref="J127:L127"/>
    <mergeCell ref="G82:I82"/>
    <mergeCell ref="R91:X91"/>
    <mergeCell ref="R85:X85"/>
    <mergeCell ref="A34:B34"/>
    <mergeCell ref="AW36:AX36"/>
    <mergeCell ref="AG123:AH123"/>
    <mergeCell ref="C132:F132"/>
    <mergeCell ref="C138:F138"/>
    <mergeCell ref="Y98:AD98"/>
    <mergeCell ref="Y73:AD73"/>
    <mergeCell ref="M162:Q162"/>
    <mergeCell ref="AY101:AZ101"/>
    <mergeCell ref="AI179:AJ179"/>
    <mergeCell ref="AM195:AO195"/>
    <mergeCell ref="BI10:BK10"/>
    <mergeCell ref="A36:B36"/>
    <mergeCell ref="AP71:AQ71"/>
    <mergeCell ref="AY100:AZ100"/>
    <mergeCell ref="BI99:BK99"/>
    <mergeCell ref="AW67:AX67"/>
    <mergeCell ref="AE75:AF75"/>
    <mergeCell ref="J147:L147"/>
    <mergeCell ref="BI3:BK3"/>
    <mergeCell ref="G83:I83"/>
    <mergeCell ref="BA77:BC77"/>
    <mergeCell ref="AM197:AO197"/>
    <mergeCell ref="AI83:AJ83"/>
    <mergeCell ref="M35:Q35"/>
    <mergeCell ref="M157:Q157"/>
    <mergeCell ref="AP79:AQ79"/>
    <mergeCell ref="AP73:AQ73"/>
    <mergeCell ref="A65:B65"/>
    <mergeCell ref="BA166:BC166"/>
    <mergeCell ref="AW69:AX69"/>
    <mergeCell ref="AW25:AX25"/>
    <mergeCell ref="G110:I110"/>
    <mergeCell ref="AY125:AZ125"/>
    <mergeCell ref="AI85:AJ85"/>
    <mergeCell ref="AG52:AH52"/>
    <mergeCell ref="AY127:AZ127"/>
    <mergeCell ref="R13:X13"/>
    <mergeCell ref="M30:Q30"/>
    <mergeCell ref="AG45:AH45"/>
    <mergeCell ref="BD44:BE44"/>
    <mergeCell ref="AP74:AQ74"/>
    <mergeCell ref="J163:L163"/>
    <mergeCell ref="AE103:AF103"/>
    <mergeCell ref="BI150:BK150"/>
    <mergeCell ref="Y126:AD126"/>
    <mergeCell ref="G12:I12"/>
    <mergeCell ref="R15:X15"/>
    <mergeCell ref="AR18:AT18"/>
    <mergeCell ref="AG47:AH47"/>
    <mergeCell ref="M61:Q61"/>
    <mergeCell ref="AI109:AJ109"/>
    <mergeCell ref="BI21:BK21"/>
    <mergeCell ref="J165:L165"/>
    <mergeCell ref="AG167:AH167"/>
    <mergeCell ref="R104:X104"/>
    <mergeCell ref="BI152:BK152"/>
    <mergeCell ref="J171:L171"/>
    <mergeCell ref="C176:F176"/>
    <mergeCell ref="M175:Q175"/>
    <mergeCell ref="C193:F193"/>
    <mergeCell ref="Y117:AD117"/>
    <mergeCell ref="G136:I136"/>
    <mergeCell ref="BA67:BC67"/>
    <mergeCell ref="BA61:BC61"/>
    <mergeCell ref="AI111:AJ111"/>
    <mergeCell ref="BI23:BK23"/>
    <mergeCell ref="BI145:BK145"/>
    <mergeCell ref="AP101:AQ101"/>
    <mergeCell ref="AK27:AL27"/>
    <mergeCell ref="C178:F178"/>
    <mergeCell ref="G7:I7"/>
    <mergeCell ref="AG192:AH192"/>
    <mergeCell ref="AU18:AV18"/>
    <mergeCell ref="J166:L166"/>
    <mergeCell ref="M56:Q56"/>
    <mergeCell ref="BA96:BC96"/>
    <mergeCell ref="AY26:AZ26"/>
    <mergeCell ref="BA90:BC90"/>
    <mergeCell ref="M176:Q176"/>
    <mergeCell ref="AE7:AF7"/>
    <mergeCell ref="AE129:AF129"/>
    <mergeCell ref="AG63:AH63"/>
    <mergeCell ref="AU51:AV51"/>
    <mergeCell ref="BA62:BC62"/>
    <mergeCell ref="AW107:AX107"/>
    <mergeCell ref="AW82:AX82"/>
    <mergeCell ref="AR69:AT69"/>
    <mergeCell ref="BI18:BK18"/>
    <mergeCell ref="Y144:AD144"/>
    <mergeCell ref="J191:L191"/>
    <mergeCell ref="R33:X33"/>
    <mergeCell ref="AY57:AZ57"/>
    <mergeCell ref="R155:X155"/>
    <mergeCell ref="AR158:AT158"/>
    <mergeCell ref="AG187:AH187"/>
    <mergeCell ref="BD96:BE96"/>
    <mergeCell ref="BF165:BH165"/>
    <mergeCell ref="AY171:AZ171"/>
    <mergeCell ref="AR193:AT193"/>
    <mergeCell ref="AE2:AF2"/>
    <mergeCell ref="AY50:AZ50"/>
    <mergeCell ref="G154:I154"/>
    <mergeCell ref="BI49:BK49"/>
    <mergeCell ref="R157:X157"/>
    <mergeCell ref="AY181:AZ181"/>
    <mergeCell ref="BD98:BE98"/>
    <mergeCell ref="Y145:AD145"/>
    <mergeCell ref="AR64:AT64"/>
    <mergeCell ref="Y139:AD139"/>
    <mergeCell ref="AK45:AL45"/>
    <mergeCell ref="BI163:BK163"/>
    <mergeCell ref="G25:I25"/>
    <mergeCell ref="J192:L192"/>
    <mergeCell ref="R28:X28"/>
    <mergeCell ref="AY52:AZ52"/>
    <mergeCell ref="G183:I183"/>
    <mergeCell ref="BC3:BD3"/>
    <mergeCell ref="G60:I60"/>
    <mergeCell ref="AK11:AL11"/>
    <mergeCell ref="AY44:AZ44"/>
    <mergeCell ref="J194:L194"/>
    <mergeCell ref="G149:I149"/>
    <mergeCell ref="R30:X30"/>
    <mergeCell ref="BA118:BC118"/>
    <mergeCell ref="AI193:AJ193"/>
    <mergeCell ref="G185:I185"/>
    <mergeCell ref="AP145:AQ145"/>
    <mergeCell ref="BF35:BH35"/>
    <mergeCell ref="AW135:AX135"/>
    <mergeCell ref="BI77:BK77"/>
    <mergeCell ref="AE176:AF176"/>
    <mergeCell ref="M100:Q100"/>
    <mergeCell ref="G151:I151"/>
    <mergeCell ref="G178:I178"/>
    <mergeCell ref="AP16:AQ16"/>
    <mergeCell ref="BA109:BC109"/>
    <mergeCell ref="AW12:AX12"/>
    <mergeCell ref="AP147:AQ147"/>
    <mergeCell ref="AE142:AF142"/>
    <mergeCell ref="BA22:BC22"/>
    <mergeCell ref="R175:X175"/>
    <mergeCell ref="AE178:AF178"/>
    <mergeCell ref="AK101:AL101"/>
    <mergeCell ref="AY199:AZ199"/>
    <mergeCell ref="M102:Q102"/>
    <mergeCell ref="AE55:AF55"/>
    <mergeCell ref="AR88:AT88"/>
    <mergeCell ref="R54:X54"/>
    <mergeCell ref="AG117:AH117"/>
    <mergeCell ref="AP18:AQ18"/>
    <mergeCell ref="AR82:AT82"/>
    <mergeCell ref="Y67:AD67"/>
    <mergeCell ref="AI182:AJ182"/>
    <mergeCell ref="AE144:AF144"/>
    <mergeCell ref="AY70:AZ70"/>
    <mergeCell ref="BA134:BC134"/>
    <mergeCell ref="R81:X81"/>
    <mergeCell ref="AW32:AX32"/>
    <mergeCell ref="AW7:AX7"/>
    <mergeCell ref="R56:X56"/>
    <mergeCell ref="AG119:AH119"/>
    <mergeCell ref="AI175:AJ175"/>
    <mergeCell ref="Y69:AD69"/>
    <mergeCell ref="AU88:AV88"/>
    <mergeCell ref="AR83:AT83"/>
    <mergeCell ref="Y158:AD158"/>
    <mergeCell ref="C136:F136"/>
    <mergeCell ref="BA108:BC108"/>
    <mergeCell ref="A7:B7"/>
    <mergeCell ref="AY96:AZ96"/>
    <mergeCell ref="BI95:BK95"/>
    <mergeCell ref="AG148:AH148"/>
    <mergeCell ref="BD170:BE170"/>
    <mergeCell ref="BI89:BK89"/>
    <mergeCell ref="BF25:BH25"/>
    <mergeCell ref="AP173:AQ173"/>
    <mergeCell ref="G79:I79"/>
    <mergeCell ref="J118:L118"/>
    <mergeCell ref="AI177:AJ177"/>
    <mergeCell ref="G73:I73"/>
    <mergeCell ref="AU90:AV90"/>
    <mergeCell ref="M128:Q128"/>
    <mergeCell ref="BI88:BK88"/>
    <mergeCell ref="AM7:AO7"/>
    <mergeCell ref="AP44:AQ44"/>
    <mergeCell ref="AY98:AZ98"/>
    <mergeCell ref="AW65:AX65"/>
    <mergeCell ref="BA162:BC162"/>
    <mergeCell ref="AE73:AF73"/>
    <mergeCell ref="AP158:AQ158"/>
    <mergeCell ref="AR141:AT141"/>
    <mergeCell ref="BI90:BK90"/>
    <mergeCell ref="AW58:AX58"/>
    <mergeCell ref="BA164:BC164"/>
    <mergeCell ref="AM36:AO36"/>
    <mergeCell ref="AY123:AZ123"/>
    <mergeCell ref="AG137:AH137"/>
    <mergeCell ref="AM8:AO8"/>
    <mergeCell ref="BD40:BE40"/>
    <mergeCell ref="Y87:AD87"/>
    <mergeCell ref="AW60:AX60"/>
    <mergeCell ref="AE74:AF74"/>
    <mergeCell ref="AE68:AF68"/>
    <mergeCell ref="BI121:BK121"/>
    <mergeCell ref="AG130:AH130"/>
    <mergeCell ref="AP72:AQ72"/>
    <mergeCell ref="Y89:AD89"/>
    <mergeCell ref="AR136:AT136"/>
    <mergeCell ref="R100:X100"/>
    <mergeCell ref="C120:F120"/>
    <mergeCell ref="AY124:AZ124"/>
    <mergeCell ref="AY118:AZ118"/>
    <mergeCell ref="AG132:AH132"/>
    <mergeCell ref="M146:Q146"/>
    <mergeCell ref="BI148:BK148"/>
    <mergeCell ref="BD41:BE41"/>
    <mergeCell ref="BF105:BH105"/>
    <mergeCell ref="BA188:BC188"/>
    <mergeCell ref="AI48:AJ48"/>
    <mergeCell ref="Y82:AD82"/>
    <mergeCell ref="G101:I101"/>
    <mergeCell ref="AP184:AQ184"/>
    <mergeCell ref="M181:Q181"/>
    <mergeCell ref="AY126:AZ126"/>
    <mergeCell ref="BA190:BC190"/>
    <mergeCell ref="C149:F149"/>
    <mergeCell ref="AU20:AV20"/>
    <mergeCell ref="A45:B45"/>
    <mergeCell ref="AU14:AV14"/>
    <mergeCell ref="BD43:BE43"/>
    <mergeCell ref="BF107:BH107"/>
    <mergeCell ref="M52:Q52"/>
    <mergeCell ref="AK112:AL112"/>
    <mergeCell ref="G92:I92"/>
    <mergeCell ref="BI143:BK143"/>
    <mergeCell ref="AU13:AV13"/>
    <mergeCell ref="R127:X127"/>
    <mergeCell ref="AW78:AX78"/>
    <mergeCell ref="AE92:AF92"/>
    <mergeCell ref="BI20:BK20"/>
    <mergeCell ref="AW200:AX200"/>
    <mergeCell ref="A46:B46"/>
    <mergeCell ref="M174:Q174"/>
    <mergeCell ref="AU15:AV15"/>
    <mergeCell ref="AR154:AT154"/>
    <mergeCell ref="BF161:BH161"/>
    <mergeCell ref="AW80:AX80"/>
    <mergeCell ref="AY142:AZ142"/>
    <mergeCell ref="A105:B105"/>
    <mergeCell ref="Y108:AD108"/>
    <mergeCell ref="AG194:AH194"/>
    <mergeCell ref="R128:X128"/>
    <mergeCell ref="AR156:AT156"/>
    <mergeCell ref="AG160:AH160"/>
    <mergeCell ref="A71:B71"/>
    <mergeCell ref="AW73:AX73"/>
    <mergeCell ref="AE87:AF87"/>
    <mergeCell ref="BI134:BK134"/>
    <mergeCell ref="Y141:AD141"/>
    <mergeCell ref="BI159:BK159"/>
    <mergeCell ref="BD25:BE25"/>
    <mergeCell ref="AK41:AL41"/>
    <mergeCell ref="J188:L188"/>
    <mergeCell ref="M199:Q199"/>
    <mergeCell ref="AY48:AZ48"/>
    <mergeCell ref="BI47:BK47"/>
    <mergeCell ref="AR149:AT149"/>
    <mergeCell ref="C177:F177"/>
    <mergeCell ref="AY137:AZ137"/>
    <mergeCell ref="A100:B100"/>
    <mergeCell ref="Y143:AD143"/>
    <mergeCell ref="BI161:BK161"/>
    <mergeCell ref="J190:L190"/>
    <mergeCell ref="G145:I145"/>
    <mergeCell ref="BI40:BK40"/>
    <mergeCell ref="G120:I120"/>
    <mergeCell ref="BA114:BC114"/>
    <mergeCell ref="M200:Q200"/>
    <mergeCell ref="AR151:AT151"/>
    <mergeCell ref="G181:I181"/>
    <mergeCell ref="M194:Q194"/>
    <mergeCell ref="AP116:AQ116"/>
    <mergeCell ref="AR180:AT180"/>
    <mergeCell ref="AK36:AL36"/>
    <mergeCell ref="A102:B102"/>
    <mergeCell ref="AU33:AV33"/>
    <mergeCell ref="BI48:BK48"/>
    <mergeCell ref="AU155:AV155"/>
    <mergeCell ref="BA122:BC122"/>
    <mergeCell ref="M71:Q71"/>
    <mergeCell ref="G147:I147"/>
    <mergeCell ref="G174:I174"/>
    <mergeCell ref="BI162:BK162"/>
    <mergeCell ref="AE138:AF138"/>
    <mergeCell ref="AE113:AF113"/>
    <mergeCell ref="AY1:BK1"/>
    <mergeCell ref="AY195:AZ195"/>
    <mergeCell ref="AU157:AV157"/>
    <mergeCell ref="AE174:AF174"/>
    <mergeCell ref="BF32:BH32"/>
    <mergeCell ref="AP111:AQ111"/>
    <mergeCell ref="AR175:AT175"/>
    <mergeCell ref="R181:X181"/>
    <mergeCell ref="AY188:AZ188"/>
    <mergeCell ref="AU28:AV28"/>
    <mergeCell ref="BD122:BE122"/>
    <mergeCell ref="BI187:BK187"/>
    <mergeCell ref="J32:L32"/>
    <mergeCell ref="AW3:AX3"/>
    <mergeCell ref="R52:X52"/>
    <mergeCell ref="AR177:AT177"/>
    <mergeCell ref="AK39:AL39"/>
    <mergeCell ref="AI6:AJ6"/>
    <mergeCell ref="BA132:BC132"/>
    <mergeCell ref="AU30:AV30"/>
    <mergeCell ref="R166:X166"/>
    <mergeCell ref="AE169:AF169"/>
    <mergeCell ref="AU84:AV84"/>
    <mergeCell ref="AU59:AV59"/>
    <mergeCell ref="AR79:AT79"/>
    <mergeCell ref="Y154:AD154"/>
    <mergeCell ref="BI189:BK189"/>
    <mergeCell ref="AY190:AZ190"/>
    <mergeCell ref="AG198:AH198"/>
    <mergeCell ref="AK54:AL54"/>
    <mergeCell ref="A120:B120"/>
    <mergeCell ref="G200:I200"/>
    <mergeCell ref="BI188:BK188"/>
    <mergeCell ref="AG75:AH75"/>
    <mergeCell ref="BF21:BH21"/>
    <mergeCell ref="BI182:BK182"/>
    <mergeCell ref="AK64:AL64"/>
    <mergeCell ref="G44:I44"/>
    <mergeCell ref="AU86:AV86"/>
    <mergeCell ref="AE200:AF200"/>
    <mergeCell ref="A113:B113"/>
    <mergeCell ref="M124:Q124"/>
    <mergeCell ref="Y156:AD156"/>
    <mergeCell ref="BI59:BK59"/>
    <mergeCell ref="BA133:BC133"/>
    <mergeCell ref="A32:B32"/>
    <mergeCell ref="G158:I158"/>
    <mergeCell ref="BA127:BC127"/>
    <mergeCell ref="AK72:AL72"/>
    <mergeCell ref="AW150:AX150"/>
    <mergeCell ref="M126:Q126"/>
    <mergeCell ref="AW144:AX144"/>
    <mergeCell ref="AE158:AF158"/>
    <mergeCell ref="AP164:AQ164"/>
    <mergeCell ref="BF16:BH16"/>
    <mergeCell ref="AE37:AF37"/>
    <mergeCell ref="BF52:BH52"/>
    <mergeCell ref="AU81:AV81"/>
    <mergeCell ref="R192:X192"/>
    <mergeCell ref="AE195:AF195"/>
    <mergeCell ref="Y180:AD180"/>
    <mergeCell ref="BF18:BH18"/>
    <mergeCell ref="G191:I191"/>
    <mergeCell ref="R194:X194"/>
    <mergeCell ref="AW145:AX145"/>
    <mergeCell ref="AE197:AF197"/>
    <mergeCell ref="AI17:AJ17"/>
    <mergeCell ref="BD141:BE141"/>
    <mergeCell ref="BD135:BE135"/>
    <mergeCell ref="Y182:AD182"/>
    <mergeCell ref="AR101:AT101"/>
    <mergeCell ref="AK82:AL82"/>
    <mergeCell ref="G184:I184"/>
    <mergeCell ref="J45:L45"/>
    <mergeCell ref="AW147:AX147"/>
    <mergeCell ref="AP180:AQ180"/>
    <mergeCell ref="AI19:AJ19"/>
    <mergeCell ref="AE184:AF184"/>
    <mergeCell ref="BI112:BK112"/>
    <mergeCell ref="AR92:AT92"/>
    <mergeCell ref="BA186:BC186"/>
    <mergeCell ref="A16:B16"/>
    <mergeCell ref="BF103:BH103"/>
    <mergeCell ref="BF78:BH78"/>
    <mergeCell ref="AP182:AQ182"/>
    <mergeCell ref="A174:B174"/>
    <mergeCell ref="AU105:AV105"/>
    <mergeCell ref="AW172:AX172"/>
    <mergeCell ref="AU99:AV99"/>
    <mergeCell ref="BI114:BK114"/>
    <mergeCell ref="M137:Q137"/>
    <mergeCell ref="AM16:AO16"/>
    <mergeCell ref="A18:B18"/>
    <mergeCell ref="BA146:BC146"/>
    <mergeCell ref="AE126:AF126"/>
    <mergeCell ref="AW171:AX171"/>
    <mergeCell ref="AK110:AL110"/>
    <mergeCell ref="AE179:AF179"/>
    <mergeCell ref="AW163:AX163"/>
    <mergeCell ref="M139:Q139"/>
    <mergeCell ref="BF98:BH98"/>
    <mergeCell ref="AR125:AT125"/>
    <mergeCell ref="AM18:AO18"/>
    <mergeCell ref="AW42:AX42"/>
    <mergeCell ref="A47:B47"/>
    <mergeCell ref="AG190:AH190"/>
    <mergeCell ref="AU100:AV100"/>
    <mergeCell ref="C85:F85"/>
    <mergeCell ref="AM17:AO17"/>
    <mergeCell ref="AI37:AJ37"/>
    <mergeCell ref="R124:X124"/>
    <mergeCell ref="BD146:BE146"/>
    <mergeCell ref="R118:X118"/>
    <mergeCell ref="AM53:AO53"/>
    <mergeCell ref="AW44:AX44"/>
    <mergeCell ref="AM47:AO47"/>
    <mergeCell ref="BD65:BE65"/>
    <mergeCell ref="BI130:BK130"/>
    <mergeCell ref="Y106:AD106"/>
    <mergeCell ref="AU125:AV125"/>
    <mergeCell ref="AM19:AO19"/>
    <mergeCell ref="AR120:AT120"/>
    <mergeCell ref="AM46:AO46"/>
    <mergeCell ref="R126:X126"/>
    <mergeCell ref="A44:B44"/>
    <mergeCell ref="AY133:AZ133"/>
    <mergeCell ref="BF131:BH131"/>
    <mergeCell ref="BI132:BK132"/>
    <mergeCell ref="AG185:AH185"/>
    <mergeCell ref="AK136:AL136"/>
    <mergeCell ref="G116:I116"/>
    <mergeCell ref="AU127:AV127"/>
    <mergeCell ref="AP53:AQ53"/>
    <mergeCell ref="AM48:AO48"/>
    <mergeCell ref="BI125:BK125"/>
    <mergeCell ref="AM44:AO44"/>
    <mergeCell ref="A98:B98"/>
    <mergeCell ref="AK7:AL7"/>
    <mergeCell ref="A73:B73"/>
    <mergeCell ref="AY135:AZ135"/>
    <mergeCell ref="BA199:BC199"/>
    <mergeCell ref="G118:I118"/>
    <mergeCell ref="AR178:AT178"/>
    <mergeCell ref="BI127:BK127"/>
    <mergeCell ref="AE109:AF109"/>
    <mergeCell ref="AM73:AO73"/>
    <mergeCell ref="C13:F13"/>
    <mergeCell ref="AE145:AF145"/>
    <mergeCell ref="AM45:AO45"/>
    <mergeCell ref="AR171:AT171"/>
    <mergeCell ref="BA200:BC200"/>
    <mergeCell ref="AE111:AF111"/>
    <mergeCell ref="AU24:AV24"/>
    <mergeCell ref="C15:F15"/>
    <mergeCell ref="AG27:AH27"/>
    <mergeCell ref="AR173:AT173"/>
    <mergeCell ref="AU26:AV26"/>
    <mergeCell ref="R137:X137"/>
    <mergeCell ref="AE140:AF140"/>
    <mergeCell ref="C184:F184"/>
    <mergeCell ref="BA41:BC41"/>
    <mergeCell ref="BD78:BE78"/>
    <mergeCell ref="AI91:AJ91"/>
    <mergeCell ref="AR44:AT44"/>
    <mergeCell ref="BF142:BH142"/>
    <mergeCell ref="C10:F10"/>
    <mergeCell ref="A126:B126"/>
    <mergeCell ref="AU57:AV57"/>
    <mergeCell ref="AY146:AZ146"/>
    <mergeCell ref="A109:B109"/>
    <mergeCell ref="BD80:BE80"/>
    <mergeCell ref="AI93:AJ93"/>
    <mergeCell ref="AW113:AX113"/>
    <mergeCell ref="BF144:BH144"/>
    <mergeCell ref="AK149:AL149"/>
    <mergeCell ref="AU171:AV171"/>
    <mergeCell ref="BI186:BK186"/>
    <mergeCell ref="AU50:AV50"/>
    <mergeCell ref="A117:B117"/>
    <mergeCell ref="BI5:BK6"/>
    <mergeCell ref="A111:B111"/>
    <mergeCell ref="AW115:AX115"/>
    <mergeCell ref="BI57:BK57"/>
    <mergeCell ref="AK151:AL151"/>
    <mergeCell ref="AU52:AV52"/>
    <mergeCell ref="AR191:AT191"/>
    <mergeCell ref="AM117:AO117"/>
    <mergeCell ref="AM92:AO92"/>
    <mergeCell ref="AY3:AZ3"/>
    <mergeCell ref="AY179:AZ179"/>
    <mergeCell ref="A142:B142"/>
    <mergeCell ref="AG38:AH38"/>
    <mergeCell ref="AE193:AF193"/>
    <mergeCell ref="BD131:BE131"/>
    <mergeCell ref="Y178:AD178"/>
    <mergeCell ref="AG46:AH46"/>
    <mergeCell ref="C28:F28"/>
    <mergeCell ref="AU5:BH5"/>
    <mergeCell ref="AG40:AH40"/>
    <mergeCell ref="BA126:BC126"/>
    <mergeCell ref="J41:L41"/>
    <mergeCell ref="J16:L16"/>
    <mergeCell ref="BD8:BE8"/>
    <mergeCell ref="AI15:AJ15"/>
    <mergeCell ref="A137:B137"/>
    <mergeCell ref="BI198:BK198"/>
    <mergeCell ref="C30:F30"/>
    <mergeCell ref="G188:I188"/>
    <mergeCell ref="AI104:AJ104"/>
    <mergeCell ref="BF38:BH38"/>
    <mergeCell ref="G182:I182"/>
    <mergeCell ref="Y5:AD6"/>
    <mergeCell ref="J43:L43"/>
    <mergeCell ref="BF74:BH74"/>
    <mergeCell ref="AK79:AL79"/>
    <mergeCell ref="A145:B145"/>
    <mergeCell ref="A139:B139"/>
    <mergeCell ref="AU70:AV70"/>
    <mergeCell ref="BF163:BH163"/>
    <mergeCell ref="AU192:AV192"/>
    <mergeCell ref="BF67:BH67"/>
    <mergeCell ref="BI199:BK199"/>
    <mergeCell ref="AK81:AL81"/>
    <mergeCell ref="AM145:AO145"/>
    <mergeCell ref="AE175:AF175"/>
    <mergeCell ref="R7:X7"/>
    <mergeCell ref="AU194:AV194"/>
    <mergeCell ref="J67:L67"/>
    <mergeCell ref="BF69:BH69"/>
    <mergeCell ref="BI70:BK70"/>
    <mergeCell ref="BD149:BE149"/>
    <mergeCell ref="AW169:AX169"/>
    <mergeCell ref="AY16:AZ16"/>
    <mergeCell ref="AI33:AJ33"/>
    <mergeCell ref="J69:L69"/>
    <mergeCell ref="AM140:AO140"/>
    <mergeCell ref="BD150:BE150"/>
    <mergeCell ref="C110:F110"/>
    <mergeCell ref="AY18:AZ18"/>
    <mergeCell ref="BD144:BE144"/>
    <mergeCell ref="AI157:AJ157"/>
    <mergeCell ref="Y51:AD51"/>
    <mergeCell ref="Y191:AD191"/>
    <mergeCell ref="J98:L98"/>
    <mergeCell ref="G53:I53"/>
    <mergeCell ref="AI34:AJ34"/>
    <mergeCell ref="AI28:AJ28"/>
    <mergeCell ref="AU123:AV123"/>
    <mergeCell ref="AP24:AQ24"/>
    <mergeCell ref="BA170:BC170"/>
    <mergeCell ref="A69:B69"/>
    <mergeCell ref="BF87:BH87"/>
    <mergeCell ref="AI30:AJ30"/>
    <mergeCell ref="AK92:AL92"/>
    <mergeCell ref="AP51:AQ51"/>
    <mergeCell ref="AP26:AQ26"/>
    <mergeCell ref="A183:B183"/>
    <mergeCell ref="AW187:AX187"/>
    <mergeCell ref="BA172:BC172"/>
    <mergeCell ref="A193:B193"/>
    <mergeCell ref="AU124:AV124"/>
    <mergeCell ref="BF89:BH89"/>
    <mergeCell ref="AU118:AV118"/>
    <mergeCell ref="AW180:AX180"/>
    <mergeCell ref="AK94:AL94"/>
    <mergeCell ref="AM158:AO158"/>
    <mergeCell ref="Y33:AD33"/>
    <mergeCell ref="C128:F128"/>
    <mergeCell ref="AW182:AX182"/>
    <mergeCell ref="AI54:AJ54"/>
    <mergeCell ref="AM160:AO160"/>
    <mergeCell ref="BD178:BE178"/>
    <mergeCell ref="C100:F100"/>
    <mergeCell ref="BD172:BE172"/>
    <mergeCell ref="AE1:AL1"/>
    <mergeCell ref="C94:F94"/>
    <mergeCell ref="AG112:AH112"/>
    <mergeCell ref="J82:L82"/>
    <mergeCell ref="BA12:BC12"/>
    <mergeCell ref="BD49:BE49"/>
    <mergeCell ref="AI62:AJ62"/>
    <mergeCell ref="BF113:BH113"/>
    <mergeCell ref="AI56:AJ56"/>
    <mergeCell ref="AP77:AQ77"/>
    <mergeCell ref="AM72:AO72"/>
    <mergeCell ref="C129:F129"/>
    <mergeCell ref="AU134:AV134"/>
    <mergeCell ref="BD163:BE163"/>
    <mergeCell ref="AI176:AJ176"/>
    <mergeCell ref="M32:Q32"/>
    <mergeCell ref="BF140:BH140"/>
    <mergeCell ref="BF115:BH115"/>
    <mergeCell ref="C95:F95"/>
    <mergeCell ref="AK145:AL145"/>
    <mergeCell ref="AK120:AL120"/>
    <mergeCell ref="AU142:AV142"/>
    <mergeCell ref="AP37:AQ37"/>
    <mergeCell ref="AM59:AO59"/>
    <mergeCell ref="A82:B82"/>
    <mergeCell ref="BA43:BC43"/>
    <mergeCell ref="AK147:AL147"/>
    <mergeCell ref="BF141:BH141"/>
    <mergeCell ref="AR13:AT13"/>
    <mergeCell ref="AM88:AO88"/>
    <mergeCell ref="AM82:AO82"/>
    <mergeCell ref="AU137:AV137"/>
    <mergeCell ref="AG9:AH9"/>
    <mergeCell ref="AM54:AO54"/>
    <mergeCell ref="BF143:BH143"/>
    <mergeCell ref="AR15:AT15"/>
    <mergeCell ref="AM90:AO90"/>
    <mergeCell ref="AG36:AH36"/>
    <mergeCell ref="J12:L12"/>
    <mergeCell ref="BD191:BE191"/>
    <mergeCell ref="AM83:AO83"/>
    <mergeCell ref="M16:Q16"/>
    <mergeCell ref="BF168:BH168"/>
    <mergeCell ref="AK173:AL173"/>
    <mergeCell ref="BA25:BC25"/>
    <mergeCell ref="AI100:AJ100"/>
    <mergeCell ref="AP90:AQ90"/>
    <mergeCell ref="AM85:AO85"/>
    <mergeCell ref="A141:B141"/>
    <mergeCell ref="BI22:BK22"/>
    <mergeCell ref="M18:Q18"/>
    <mergeCell ref="AK44:AL44"/>
    <mergeCell ref="M45:Q45"/>
    <mergeCell ref="A135:B135"/>
    <mergeCell ref="C55:F55"/>
    <mergeCell ref="AI102:AJ102"/>
    <mergeCell ref="AE151:AF151"/>
    <mergeCell ref="BF153:BH153"/>
    <mergeCell ref="BF159:BH159"/>
    <mergeCell ref="AK158:AL158"/>
    <mergeCell ref="AU163:AV163"/>
    <mergeCell ref="AU188:AV188"/>
    <mergeCell ref="M17:Q17"/>
    <mergeCell ref="AS3:AT3"/>
    <mergeCell ref="AG39:AH39"/>
    <mergeCell ref="M47:Q47"/>
    <mergeCell ref="AE182:AF182"/>
    <mergeCell ref="AU190:AV190"/>
    <mergeCell ref="AY46:AZ46"/>
    <mergeCell ref="M19:Q19"/>
    <mergeCell ref="AM143:AO143"/>
    <mergeCell ref="AU61:AV61"/>
    <mergeCell ref="BF154:BH154"/>
    <mergeCell ref="R32:X32"/>
    <mergeCell ref="C52:F52"/>
    <mergeCell ref="AY12:AZ12"/>
    <mergeCell ref="AG64:AH64"/>
    <mergeCell ref="BD113:BE113"/>
    <mergeCell ref="J182:L182"/>
    <mergeCell ref="Y20:AD20"/>
    <mergeCell ref="BI38:BK38"/>
    <mergeCell ref="Y14:AD14"/>
    <mergeCell ref="AM136:AO136"/>
    <mergeCell ref="AW125:AX125"/>
    <mergeCell ref="M44:Q44"/>
    <mergeCell ref="AE177:AF177"/>
    <mergeCell ref="C81:F81"/>
    <mergeCell ref="BD115:BE115"/>
    <mergeCell ref="AY41:AZ41"/>
    <mergeCell ref="C37:F37"/>
    <mergeCell ref="Y22:AD22"/>
    <mergeCell ref="AI128:AJ128"/>
    <mergeCell ref="AK184:AL184"/>
    <mergeCell ref="G24:I24"/>
    <mergeCell ref="J25:L25"/>
    <mergeCell ref="AY13:AZ13"/>
    <mergeCell ref="J183:L183"/>
    <mergeCell ref="AP20:AQ20"/>
    <mergeCell ref="AY43:AZ43"/>
    <mergeCell ref="BA107:BC107"/>
    <mergeCell ref="AK192:AL192"/>
    <mergeCell ref="AP109:AQ109"/>
    <mergeCell ref="G26:I26"/>
    <mergeCell ref="A154:B154"/>
    <mergeCell ref="AP22:AQ22"/>
    <mergeCell ref="AE17:AF17"/>
    <mergeCell ref="BD143:BE143"/>
    <mergeCell ref="AP15:AQ15"/>
    <mergeCell ref="AM154:AO154"/>
    <mergeCell ref="R16:X16"/>
    <mergeCell ref="AE19:AF19"/>
    <mergeCell ref="AY67:AZ67"/>
    <mergeCell ref="C63:F63"/>
    <mergeCell ref="BG2:BH2"/>
    <mergeCell ref="R174:X174"/>
    <mergeCell ref="AR81:AT81"/>
    <mergeCell ref="AM156:AO156"/>
    <mergeCell ref="G42:I42"/>
    <mergeCell ref="BD168:BE168"/>
    <mergeCell ref="AI181:AJ181"/>
    <mergeCell ref="R45:X45"/>
    <mergeCell ref="AG83:AH83"/>
    <mergeCell ref="AY25:AZ25"/>
    <mergeCell ref="J84:L84"/>
    <mergeCell ref="Y58:AD58"/>
    <mergeCell ref="BF80:BH80"/>
    <mergeCell ref="AM155:AO155"/>
    <mergeCell ref="BA8:BC8"/>
    <mergeCell ref="AI52:AJ52"/>
    <mergeCell ref="AG110:AH110"/>
    <mergeCell ref="R47:X47"/>
    <mergeCell ref="AP162:AQ162"/>
    <mergeCell ref="Y35:AD35"/>
    <mergeCell ref="J80:L80"/>
    <mergeCell ref="J107:L107"/>
    <mergeCell ref="BA10:BC10"/>
    <mergeCell ref="BF111:BH111"/>
    <mergeCell ref="AM151:AO151"/>
    <mergeCell ref="G37:I37"/>
    <mergeCell ref="BD169:BE169"/>
    <mergeCell ref="AK116:AL116"/>
    <mergeCell ref="AM180:AO180"/>
    <mergeCell ref="M117:Q117"/>
    <mergeCell ref="A182:B182"/>
    <mergeCell ref="J79:L79"/>
    <mergeCell ref="A5:B6"/>
    <mergeCell ref="AP33:AQ33"/>
    <mergeCell ref="AP155:AQ155"/>
    <mergeCell ref="AI53:AJ53"/>
    <mergeCell ref="AW23:AX23"/>
    <mergeCell ref="BA39:BC39"/>
    <mergeCell ref="AK118:AL118"/>
    <mergeCell ref="BA92:BC92"/>
    <mergeCell ref="M119:Q119"/>
    <mergeCell ref="AM182:AO182"/>
    <mergeCell ref="AP35:AQ35"/>
    <mergeCell ref="AR99:AT99"/>
    <mergeCell ref="AP157:AQ157"/>
    <mergeCell ref="Y84:AD84"/>
    <mergeCell ref="BF106:BH106"/>
    <mergeCell ref="A177:B177"/>
    <mergeCell ref="AG136:AH136"/>
    <mergeCell ref="AI70:AJ70"/>
    <mergeCell ref="Y86:AD86"/>
    <mergeCell ref="J106:L106"/>
    <mergeCell ref="AY114:AZ114"/>
    <mergeCell ref="J133:L133"/>
    <mergeCell ref="AM183:AO183"/>
    <mergeCell ref="AM177:AO177"/>
    <mergeCell ref="AG7:AH7"/>
    <mergeCell ref="AR100:AT100"/>
    <mergeCell ref="AP30:AQ30"/>
    <mergeCell ref="AI63:AJ63"/>
    <mergeCell ref="AW51:AX51"/>
    <mergeCell ref="AR94:AT94"/>
    <mergeCell ref="AP59:AQ59"/>
    <mergeCell ref="C147:F147"/>
    <mergeCell ref="BD187:BE187"/>
    <mergeCell ref="AI194:AJ194"/>
    <mergeCell ref="AI200:AJ200"/>
    <mergeCell ref="G96:I96"/>
    <mergeCell ref="J135:L135"/>
    <mergeCell ref="BA65:BC65"/>
    <mergeCell ref="BA21:BC21"/>
    <mergeCell ref="AI71:AJ71"/>
    <mergeCell ref="BI105:BK105"/>
    <mergeCell ref="AU160:AV160"/>
    <mergeCell ref="BD189:BE189"/>
    <mergeCell ref="AP61:AQ61"/>
    <mergeCell ref="G98:I98"/>
    <mergeCell ref="BA23:BC23"/>
    <mergeCell ref="C148:F148"/>
    <mergeCell ref="AI195:AJ195"/>
    <mergeCell ref="R116:X116"/>
    <mergeCell ref="M43:Q43"/>
    <mergeCell ref="AW77:AX77"/>
    <mergeCell ref="AE91:AF91"/>
    <mergeCell ref="AE85:AF85"/>
    <mergeCell ref="AG25:AH25"/>
    <mergeCell ref="G93:I93"/>
    <mergeCell ref="BA18:BC18"/>
    <mergeCell ref="C165:F165"/>
    <mergeCell ref="AE93:AF93"/>
    <mergeCell ref="G108:I108"/>
    <mergeCell ref="R117:X117"/>
    <mergeCell ref="AY141:AZ141"/>
    <mergeCell ref="AG149:AH149"/>
    <mergeCell ref="BD58:BE58"/>
    <mergeCell ref="Y105:AD105"/>
    <mergeCell ref="AR24:AT24"/>
    <mergeCell ref="Y99:AD99"/>
    <mergeCell ref="U2:Y2"/>
    <mergeCell ref="BA49:BC49"/>
    <mergeCell ref="C77:F77"/>
    <mergeCell ref="AI124:AJ124"/>
    <mergeCell ref="BI36:BK36"/>
    <mergeCell ref="R119:X119"/>
    <mergeCell ref="AE122:AF122"/>
    <mergeCell ref="AY143:AZ143"/>
    <mergeCell ref="G20:I20"/>
    <mergeCell ref="AG151:AH151"/>
    <mergeCell ref="C166:F166"/>
    <mergeCell ref="C160:F160"/>
    <mergeCell ref="AR26:AT26"/>
    <mergeCell ref="BA42:BC42"/>
    <mergeCell ref="Y101:AD101"/>
    <mergeCell ref="G109:I109"/>
    <mergeCell ref="AI126:AJ126"/>
    <mergeCell ref="BF177:BH177"/>
    <mergeCell ref="AY14:AZ14"/>
    <mergeCell ref="BA78:BC78"/>
    <mergeCell ref="AK182:AL182"/>
    <mergeCell ref="AK188:AL188"/>
    <mergeCell ref="A1:J3"/>
    <mergeCell ref="AP105:AQ105"/>
    <mergeCell ref="G22:I22"/>
    <mergeCell ref="AU179:AV179"/>
    <mergeCell ref="AM37:AO37"/>
    <mergeCell ref="U3:Y3"/>
    <mergeCell ref="AM94:AO94"/>
    <mergeCell ref="M77:Q77"/>
    <mergeCell ref="AP99:AQ99"/>
    <mergeCell ref="BA44:BC44"/>
    <mergeCell ref="M33:Q33"/>
    <mergeCell ref="BF176:BH176"/>
    <mergeCell ref="BI31:BK31"/>
    <mergeCell ref="AE13:AF13"/>
    <mergeCell ref="G111:I111"/>
    <mergeCell ref="BA80:BC80"/>
    <mergeCell ref="J181:L181"/>
    <mergeCell ref="AU32:AV32"/>
    <mergeCell ref="AP107:AQ107"/>
    <mergeCell ref="AW88:AX88"/>
    <mergeCell ref="BF178:BH178"/>
    <mergeCell ref="AM125:AO125"/>
    <mergeCell ref="AY153:AZ153"/>
    <mergeCell ref="M62:Q62"/>
    <mergeCell ref="AE15:AF15"/>
    <mergeCell ref="AK183:AL183"/>
    <mergeCell ref="AP100:AQ100"/>
    <mergeCell ref="AW96:AX96"/>
    <mergeCell ref="R139:X139"/>
    <mergeCell ref="M72:Q72"/>
    <mergeCell ref="AW90:AX90"/>
    <mergeCell ref="AE104:AF104"/>
    <mergeCell ref="AR52:AT52"/>
    <mergeCell ref="AM127:AO127"/>
    <mergeCell ref="AY65:AZ65"/>
    <mergeCell ref="AG79:AH79"/>
    <mergeCell ref="AG73:AH73"/>
    <mergeCell ref="AP102:AQ102"/>
    <mergeCell ref="M87:Q87"/>
    <mergeCell ref="AR166:AT166"/>
    <mergeCell ref="Y29:AD29"/>
    <mergeCell ref="J49:L49"/>
    <mergeCell ref="AY154:AZ154"/>
    <mergeCell ref="AM120:AO120"/>
    <mergeCell ref="M59:Q59"/>
    <mergeCell ref="G162:I162"/>
    <mergeCell ref="R43:X43"/>
    <mergeCell ref="J5:L6"/>
    <mergeCell ref="AG81:AH81"/>
    <mergeCell ref="AI137:AJ137"/>
    <mergeCell ref="Y31:AD31"/>
    <mergeCell ref="AP127:AQ127"/>
    <mergeCell ref="AY156:AZ156"/>
    <mergeCell ref="G33:I33"/>
    <mergeCell ref="BI65:BK65"/>
    <mergeCell ref="M88:Q88"/>
    <mergeCell ref="M82:Q82"/>
    <mergeCell ref="BF196:BH196"/>
    <mergeCell ref="AI139:AJ139"/>
    <mergeCell ref="M54:Q54"/>
    <mergeCell ref="G35:I35"/>
    <mergeCell ref="AG76:AH76"/>
    <mergeCell ref="M90:Q90"/>
    <mergeCell ref="AW108:AX108"/>
    <mergeCell ref="R67:X67"/>
    <mergeCell ref="AI51:AJ51"/>
    <mergeCell ref="AY83:AZ83"/>
    <mergeCell ref="Y186:AD186"/>
    <mergeCell ref="BF191:BH191"/>
    <mergeCell ref="R69:X69"/>
    <mergeCell ref="AW20:AX20"/>
    <mergeCell ref="AY49:AZ49"/>
    <mergeCell ref="AE28:AF28"/>
    <mergeCell ref="AG101:AH101"/>
    <mergeCell ref="AI183:AJ183"/>
    <mergeCell ref="BD10:BE10"/>
    <mergeCell ref="BI75:BK75"/>
    <mergeCell ref="AM173:AO173"/>
    <mergeCell ref="G59:I59"/>
    <mergeCell ref="AR96:AT96"/>
    <mergeCell ref="Y171:AD171"/>
    <mergeCell ref="A20:B20"/>
    <mergeCell ref="AW22:AX22"/>
    <mergeCell ref="AY84:AZ84"/>
    <mergeCell ref="AE30:AF30"/>
    <mergeCell ref="AY78:AZ78"/>
    <mergeCell ref="AG92:AH92"/>
    <mergeCell ref="C118:F118"/>
    <mergeCell ref="AI165:AJ165"/>
    <mergeCell ref="J131:L131"/>
    <mergeCell ref="G67:I67"/>
    <mergeCell ref="AM181:AO181"/>
    <mergeCell ref="G61:I61"/>
    <mergeCell ref="AR98:AT98"/>
    <mergeCell ref="Y173:AD173"/>
    <mergeCell ref="A13:B13"/>
    <mergeCell ref="M141:Q141"/>
    <mergeCell ref="AP57:AQ57"/>
    <mergeCell ref="BA150:BC150"/>
    <mergeCell ref="AY80:AZ80"/>
    <mergeCell ref="Y44:AD44"/>
    <mergeCell ref="AP146:AQ146"/>
    <mergeCell ref="A15:B15"/>
    <mergeCell ref="M143:Q143"/>
    <mergeCell ref="BI103:BK103"/>
    <mergeCell ref="A191:B191"/>
    <mergeCell ref="AP181:AQ181"/>
    <mergeCell ref="BF33:BH33"/>
    <mergeCell ref="A51:B51"/>
    <mergeCell ref="AE54:AF54"/>
    <mergeCell ref="G62:I62"/>
    <mergeCell ref="AU98:AV98"/>
    <mergeCell ref="AW38:AX38"/>
    <mergeCell ref="AP58:AQ58"/>
    <mergeCell ref="AP52:AQ52"/>
    <mergeCell ref="AE56:AF56"/>
    <mergeCell ref="AW162:AX162"/>
    <mergeCell ref="AR124:AT124"/>
    <mergeCell ref="AG145:AH145"/>
    <mergeCell ref="R82:X82"/>
    <mergeCell ref="AW33:AX33"/>
    <mergeCell ref="AY106:AZ106"/>
    <mergeCell ref="AG120:AH120"/>
    <mergeCell ref="BD29:BE29"/>
    <mergeCell ref="AW164:AX164"/>
    <mergeCell ref="BD23:BE23"/>
    <mergeCell ref="Y70:AD70"/>
    <mergeCell ref="J142:L142"/>
    <mergeCell ref="AR126:AT126"/>
    <mergeCell ref="AM192:AO192"/>
    <mergeCell ref="BI129:BK129"/>
    <mergeCell ref="AR109:AT109"/>
    <mergeCell ref="AG147:AH147"/>
    <mergeCell ref="A33:B33"/>
    <mergeCell ref="AW35:AX35"/>
    <mergeCell ref="AG174:AH174"/>
    <mergeCell ref="Y97:AD97"/>
    <mergeCell ref="J150:L150"/>
    <mergeCell ref="AP199:AQ199"/>
    <mergeCell ref="J144:L144"/>
    <mergeCell ref="BA47:BC47"/>
    <mergeCell ref="AY10:AZ10"/>
    <mergeCell ref="BA74:BC74"/>
    <mergeCell ref="BI131:BK131"/>
    <mergeCell ref="M154:Q154"/>
    <mergeCell ref="C164:F164"/>
    <mergeCell ref="J116:L116"/>
    <mergeCell ref="A35:B35"/>
    <mergeCell ref="AP70:AQ70"/>
    <mergeCell ref="A62:B62"/>
    <mergeCell ref="BA163:BC163"/>
    <mergeCell ref="BA40:BC40"/>
    <mergeCell ref="G107:I107"/>
    <mergeCell ref="BI2:BK2"/>
    <mergeCell ref="BA76:BC76"/>
    <mergeCell ref="R110:X110"/>
    <mergeCell ref="A28:B28"/>
    <mergeCell ref="M156:Q156"/>
    <mergeCell ref="AG171:AH171"/>
    <mergeCell ref="AP200:AQ200"/>
    <mergeCell ref="AW59:AX59"/>
    <mergeCell ref="U1:Y1"/>
    <mergeCell ref="BA165:BC165"/>
    <mergeCell ref="AP194:AQ194"/>
    <mergeCell ref="M155:Q155"/>
    <mergeCell ref="AM34:AO34"/>
    <mergeCell ref="R141:X141"/>
    <mergeCell ref="A30:B30"/>
    <mergeCell ref="AG173:AH173"/>
    <mergeCell ref="AW86:AX86"/>
    <mergeCell ref="A59:B59"/>
    <mergeCell ref="AE100:AF100"/>
    <mergeCell ref="Y129:AD129"/>
    <mergeCell ref="AG200:AH200"/>
    <mergeCell ref="Y123:AD123"/>
    <mergeCell ref="AR162:AT162"/>
    <mergeCell ref="AG44:AH44"/>
    <mergeCell ref="AR137:AT137"/>
    <mergeCell ref="R143:X143"/>
    <mergeCell ref="M180:Q180"/>
    <mergeCell ref="C190:F190"/>
    <mergeCell ref="AE102:AF102"/>
    <mergeCell ref="A61:B61"/>
    <mergeCell ref="AY150:AZ150"/>
    <mergeCell ref="AG158:AH158"/>
    <mergeCell ref="G133:I133"/>
    <mergeCell ref="J172:L172"/>
    <mergeCell ref="R14:X14"/>
    <mergeCell ref="R136:X136"/>
    <mergeCell ref="AR164:AT164"/>
    <mergeCell ref="AR139:AT139"/>
    <mergeCell ref="AI108:AJ108"/>
    <mergeCell ref="AP129:AQ129"/>
    <mergeCell ref="Y124:AD124"/>
    <mergeCell ref="BI142:BK142"/>
    <mergeCell ref="AY152:AZ152"/>
    <mergeCell ref="AK24:AL24"/>
    <mergeCell ref="C175:F175"/>
    <mergeCell ref="M84:Q84"/>
    <mergeCell ref="G135:I135"/>
    <mergeCell ref="C185:F185"/>
    <mergeCell ref="BI144:BK144"/>
    <mergeCell ref="AK26:AL26"/>
    <mergeCell ref="BA59:BC59"/>
    <mergeCell ref="M86:Q86"/>
    <mergeCell ref="AW104:AX104"/>
    <mergeCell ref="G164:I164"/>
    <mergeCell ref="M80:Q80"/>
    <mergeCell ref="AP124:AQ124"/>
    <mergeCell ref="BA89:BC89"/>
    <mergeCell ref="AW114:AX114"/>
    <mergeCell ref="AU41:AV41"/>
    <mergeCell ref="AE128:AF128"/>
    <mergeCell ref="AE155:AF155"/>
    <mergeCell ref="AG184:AH184"/>
    <mergeCell ref="AW106:AX106"/>
    <mergeCell ref="AR59:AT59"/>
    <mergeCell ref="BA88:BC88"/>
    <mergeCell ref="Y134:AD134"/>
    <mergeCell ref="AP126:AQ126"/>
    <mergeCell ref="J14:L14"/>
    <mergeCell ref="AR190:AT190"/>
    <mergeCell ref="AW122:AX122"/>
    <mergeCell ref="AU43:AV43"/>
    <mergeCell ref="AW105:AX105"/>
    <mergeCell ref="R154:X154"/>
    <mergeCell ref="AE157:AF157"/>
    <mergeCell ref="AY178:AZ178"/>
    <mergeCell ref="AR67:AT67"/>
    <mergeCell ref="BD95:BE95"/>
    <mergeCell ref="Y142:AD142"/>
    <mergeCell ref="AR61:AT61"/>
    <mergeCell ref="BI73:BK73"/>
    <mergeCell ref="R156:X156"/>
    <mergeCell ref="A143:B143"/>
    <mergeCell ref="AY163:AZ163"/>
    <mergeCell ref="BD97:BE97"/>
    <mergeCell ref="G146:I146"/>
    <mergeCell ref="BA115:BC115"/>
    <mergeCell ref="AU67:AV67"/>
    <mergeCell ref="BC2:BD2"/>
    <mergeCell ref="Y137:AD137"/>
    <mergeCell ref="AP142:AQ142"/>
    <mergeCell ref="BI74:BK74"/>
    <mergeCell ref="BF29:BH29"/>
    <mergeCell ref="BI68:BK68"/>
    <mergeCell ref="G58:I58"/>
    <mergeCell ref="R151:X151"/>
    <mergeCell ref="AU69:AV69"/>
    <mergeCell ref="R180:X180"/>
    <mergeCell ref="AP144:AQ144"/>
    <mergeCell ref="BA141:BC141"/>
    <mergeCell ref="BI76:BK76"/>
    <mergeCell ref="M99:Q99"/>
    <mergeCell ref="AE52:AF52"/>
    <mergeCell ref="AP137:AQ137"/>
    <mergeCell ref="R182:X182"/>
    <mergeCell ref="AW133:AX133"/>
    <mergeCell ref="AW127:AX127"/>
    <mergeCell ref="Y195:AD195"/>
    <mergeCell ref="BA143:BC143"/>
    <mergeCell ref="C45:F45"/>
    <mergeCell ref="AM15:AO15"/>
    <mergeCell ref="J58:L58"/>
    <mergeCell ref="AG116:AH116"/>
    <mergeCell ref="AP139:AQ139"/>
    <mergeCell ref="BD19:BE19"/>
    <mergeCell ref="AI32:AJ32"/>
    <mergeCell ref="Y66:AD66"/>
    <mergeCell ref="AR122:AT122"/>
    <mergeCell ref="AE170:AF170"/>
    <mergeCell ref="AE53:AF53"/>
    <mergeCell ref="AY191:AZ191"/>
    <mergeCell ref="C47:F47"/>
    <mergeCell ref="Y197:AD197"/>
    <mergeCell ref="AG118:AH118"/>
    <mergeCell ref="C133:F133"/>
    <mergeCell ref="C127:F127"/>
    <mergeCell ref="BD27:BE27"/>
    <mergeCell ref="Y68:AD68"/>
    <mergeCell ref="AK96:AL96"/>
    <mergeCell ref="A156:B156"/>
    <mergeCell ref="G70:I70"/>
    <mergeCell ref="M125:Q125"/>
    <mergeCell ref="BD20:BE20"/>
    <mergeCell ref="BF84:BH84"/>
    <mergeCell ref="BA159:BC159"/>
    <mergeCell ref="AP163:AQ163"/>
    <mergeCell ref="AK98:AL98"/>
    <mergeCell ref="A24:B24"/>
    <mergeCell ref="M127:Q127"/>
    <mergeCell ref="BD22:BE22"/>
    <mergeCell ref="BF86:BH86"/>
    <mergeCell ref="BI87:BK87"/>
    <mergeCell ref="A60:B60"/>
    <mergeCell ref="AE63:AF63"/>
    <mergeCell ref="AK91:AL91"/>
    <mergeCell ref="BA161:BC161"/>
    <mergeCell ref="AP165:AQ165"/>
    <mergeCell ref="AW186:AX186"/>
    <mergeCell ref="AY120:AZ120"/>
    <mergeCell ref="AU82:AV82"/>
    <mergeCell ref="AP190:AQ190"/>
    <mergeCell ref="J86:L86"/>
    <mergeCell ref="AW57:AX57"/>
    <mergeCell ref="AE71:AF71"/>
    <mergeCell ref="AY113:AZ113"/>
    <mergeCell ref="BD9:BE9"/>
    <mergeCell ref="BD47:BE47"/>
    <mergeCell ref="AW146:AX146"/>
    <mergeCell ref="BD167:BE167"/>
    <mergeCell ref="AR133:AT133"/>
    <mergeCell ref="AI174:AJ174"/>
    <mergeCell ref="BA156:BC156"/>
    <mergeCell ref="BA195:BC195"/>
    <mergeCell ref="AY121:AZ121"/>
    <mergeCell ref="A84:B84"/>
    <mergeCell ref="AY115:AZ115"/>
    <mergeCell ref="BD38:BE38"/>
    <mergeCell ref="AI45:AJ45"/>
    <mergeCell ref="AR135:AT135"/>
    <mergeCell ref="A50:B50"/>
    <mergeCell ref="BI138:BK138"/>
    <mergeCell ref="BI113:BK113"/>
    <mergeCell ref="BA187:BC187"/>
    <mergeCell ref="BA3:BB3"/>
    <mergeCell ref="AK20:AL20"/>
    <mergeCell ref="A86:B86"/>
    <mergeCell ref="AU11:AV11"/>
    <mergeCell ref="BF104:BH104"/>
    <mergeCell ref="BD162:BE162"/>
    <mergeCell ref="AK109:AL109"/>
    <mergeCell ref="BA180:BC180"/>
    <mergeCell ref="Y122:AD122"/>
    <mergeCell ref="BI115:BK115"/>
    <mergeCell ref="BI140:BK140"/>
    <mergeCell ref="AK22:AL22"/>
    <mergeCell ref="BF70:BH70"/>
    <mergeCell ref="M5:Q6"/>
    <mergeCell ref="AU141:AV141"/>
    <mergeCell ref="AW75:AX75"/>
    <mergeCell ref="AK111:AL111"/>
    <mergeCell ref="AM175:AO175"/>
    <mergeCell ref="BA182:BC182"/>
    <mergeCell ref="A81:B81"/>
    <mergeCell ref="AE124:AF124"/>
    <mergeCell ref="AU12:AV12"/>
    <mergeCell ref="BD35:BE35"/>
    <mergeCell ref="BF99:BH99"/>
    <mergeCell ref="G126:I126"/>
    <mergeCell ref="AU143:AV143"/>
    <mergeCell ref="BA84:BC84"/>
    <mergeCell ref="AW199:AX199"/>
    <mergeCell ref="BI141:BK141"/>
    <mergeCell ref="AG188:AH188"/>
    <mergeCell ref="R125:X125"/>
    <mergeCell ref="J99:L99"/>
    <mergeCell ref="AW70:AX70"/>
    <mergeCell ref="BD91:BE91"/>
    <mergeCell ref="BD66:BE66"/>
    <mergeCell ref="J179:L179"/>
    <mergeCell ref="BI166:BK166"/>
    <mergeCell ref="AR146:AT146"/>
    <mergeCell ref="J101:L101"/>
    <mergeCell ref="A70:B70"/>
    <mergeCell ref="AY134:AZ134"/>
    <mergeCell ref="BD93:BE93"/>
    <mergeCell ref="J187:L187"/>
    <mergeCell ref="AK162:AL162"/>
    <mergeCell ref="BI37:BK37"/>
    <mergeCell ref="BA111:BC111"/>
    <mergeCell ref="R120:X120"/>
    <mergeCell ref="AU153:AV153"/>
    <mergeCell ref="BI168:BK168"/>
    <mergeCell ref="AG183:AH183"/>
    <mergeCell ref="M191:Q191"/>
    <mergeCell ref="M51:Q51"/>
    <mergeCell ref="AK33:AL33"/>
    <mergeCell ref="A99:B99"/>
    <mergeCell ref="AK164:AL164"/>
    <mergeCell ref="AU65:AV65"/>
    <mergeCell ref="BF30:BH30"/>
    <mergeCell ref="Y135:AD135"/>
    <mergeCell ref="AK35:AL35"/>
    <mergeCell ref="A101:B101"/>
    <mergeCell ref="AU154:AV154"/>
    <mergeCell ref="M192:Q192"/>
    <mergeCell ref="G173:I173"/>
    <mergeCell ref="AP108:AQ108"/>
    <mergeCell ref="AK34:AL34"/>
    <mergeCell ref="AW129:AX129"/>
    <mergeCell ref="AW123:AX123"/>
    <mergeCell ref="AE137:AF137"/>
    <mergeCell ref="AU25:AV25"/>
    <mergeCell ref="AM101:AO101"/>
    <mergeCell ref="BD119:BE119"/>
    <mergeCell ref="C41:F41"/>
    <mergeCell ref="AU156:AV156"/>
    <mergeCell ref="J29:L29"/>
    <mergeCell ref="BF31:BH31"/>
    <mergeCell ref="AR199:AT199"/>
    <mergeCell ref="AM100:AO100"/>
    <mergeCell ref="AW131:AX131"/>
    <mergeCell ref="AI3:AJ3"/>
    <mergeCell ref="BD112:BE112"/>
    <mergeCell ref="AE139:AF139"/>
    <mergeCell ref="AE166:AF166"/>
    <mergeCell ref="AY187:AZ187"/>
    <mergeCell ref="R5:X6"/>
    <mergeCell ref="C43:F43"/>
    <mergeCell ref="AK190:AL190"/>
    <mergeCell ref="BD104:BE104"/>
    <mergeCell ref="AI117:AJ117"/>
    <mergeCell ref="G170:I170"/>
    <mergeCell ref="R173:X173"/>
    <mergeCell ref="AM102:AO102"/>
    <mergeCell ref="BF56:BH56"/>
    <mergeCell ref="AK67:AL67"/>
    <mergeCell ref="C36:F36"/>
    <mergeCell ref="BD114:BE114"/>
    <mergeCell ref="AK61:AL61"/>
    <mergeCell ref="AE168:AF168"/>
    <mergeCell ref="BI179:BK179"/>
    <mergeCell ref="AY189:AZ189"/>
    <mergeCell ref="J24:L24"/>
    <mergeCell ref="G172:I172"/>
    <mergeCell ref="G199:I199"/>
    <mergeCell ref="AW126:AX126"/>
    <mergeCell ref="BA130:BC130"/>
    <mergeCell ref="BD105:BE105"/>
    <mergeCell ref="C67:F67"/>
    <mergeCell ref="J26:L26"/>
    <mergeCell ref="M123:Q123"/>
    <mergeCell ref="AU78:AV78"/>
    <mergeCell ref="BF171:BH171"/>
    <mergeCell ref="AE192:AF192"/>
    <mergeCell ref="C69:F69"/>
    <mergeCell ref="C96:F96"/>
    <mergeCell ref="BD130:BE130"/>
    <mergeCell ref="BA125:BC125"/>
    <mergeCell ref="AM31:AO31"/>
    <mergeCell ref="AU80:AV80"/>
    <mergeCell ref="AW142:AX142"/>
    <mergeCell ref="R191:X191"/>
    <mergeCell ref="AE194:AF194"/>
    <mergeCell ref="C98:F98"/>
    <mergeCell ref="BD132:BE132"/>
    <mergeCell ref="AY58:AZ58"/>
    <mergeCell ref="Y179:AD179"/>
    <mergeCell ref="A26:B26"/>
    <mergeCell ref="G41:I41"/>
    <mergeCell ref="J42:L42"/>
    <mergeCell ref="AI16:AJ16"/>
    <mergeCell ref="AM32:AO32"/>
    <mergeCell ref="AM26:AO26"/>
    <mergeCell ref="BI109:BK109"/>
    <mergeCell ref="BA183:BC183"/>
    <mergeCell ref="G43:I43"/>
    <mergeCell ref="J44:L44"/>
    <mergeCell ref="BF100:BH100"/>
    <mergeCell ref="AU104:AV104"/>
    <mergeCell ref="AI43:AJ43"/>
    <mergeCell ref="AI18:AJ18"/>
    <mergeCell ref="AK105:AL105"/>
    <mergeCell ref="A171:B171"/>
    <mergeCell ref="A165:B165"/>
    <mergeCell ref="P3:T3"/>
    <mergeCell ref="AP179:AQ179"/>
    <mergeCell ref="BI111:BK111"/>
    <mergeCell ref="J37:L37"/>
    <mergeCell ref="M134:Q134"/>
    <mergeCell ref="BA185:BC185"/>
    <mergeCell ref="AU106:AV106"/>
    <mergeCell ref="AP32:AQ32"/>
    <mergeCell ref="AK107:AL107"/>
    <mergeCell ref="AM171:AO171"/>
    <mergeCell ref="A173:B173"/>
    <mergeCell ref="BA178:BC178"/>
    <mergeCell ref="A77:B77"/>
    <mergeCell ref="Y21:AD21"/>
    <mergeCell ref="BD31:BE31"/>
    <mergeCell ref="BF95:BH95"/>
    <mergeCell ref="A166:B166"/>
    <mergeCell ref="AW195:AX195"/>
    <mergeCell ref="AW170:AX170"/>
    <mergeCell ref="R62:X62"/>
    <mergeCell ref="C82:F82"/>
    <mergeCell ref="AM52:AO52"/>
    <mergeCell ref="J95:L95"/>
    <mergeCell ref="BF97:BH97"/>
    <mergeCell ref="BD62:BE62"/>
    <mergeCell ref="AK102:AL102"/>
    <mergeCell ref="AM166:AO166"/>
    <mergeCell ref="A168:B168"/>
    <mergeCell ref="AW197:AX197"/>
    <mergeCell ref="BD176:BE176"/>
    <mergeCell ref="AG6:AH6"/>
    <mergeCell ref="AM174:AO174"/>
    <mergeCell ref="AQ3:AR3"/>
    <mergeCell ref="J124:L124"/>
    <mergeCell ref="BD64:BE64"/>
    <mergeCell ref="BD186:BE186"/>
    <mergeCell ref="AK133:AL133"/>
    <mergeCell ref="G113:I113"/>
    <mergeCell ref="J96:L96"/>
    <mergeCell ref="BI164:BK164"/>
    <mergeCell ref="AP50:AQ50"/>
    <mergeCell ref="J90:L90"/>
    <mergeCell ref="BA20:BC20"/>
    <mergeCell ref="BD57:BE57"/>
    <mergeCell ref="BF121:BH121"/>
    <mergeCell ref="BA196:BC196"/>
    <mergeCell ref="AK135:AL135"/>
    <mergeCell ref="BI193:BK193"/>
    <mergeCell ref="BF129:BH129"/>
    <mergeCell ref="AI72:AJ72"/>
    <mergeCell ref="BF123:BH123"/>
    <mergeCell ref="BA198:BC198"/>
    <mergeCell ref="AK128:AL128"/>
    <mergeCell ref="AU150:AV150"/>
    <mergeCell ref="AP45:AQ45"/>
    <mergeCell ref="AM42:AO42"/>
    <mergeCell ref="A96:B96"/>
    <mergeCell ref="Y103:AD103"/>
    <mergeCell ref="BA51:BC51"/>
    <mergeCell ref="AE108:AF108"/>
    <mergeCell ref="C12:F12"/>
    <mergeCell ref="AU152:AV152"/>
    <mergeCell ref="AG24:AH24"/>
    <mergeCell ref="M190:Q190"/>
    <mergeCell ref="AR170:AT170"/>
    <mergeCell ref="AM96:AO96"/>
    <mergeCell ref="AM71:AO71"/>
    <mergeCell ref="J152:L152"/>
    <mergeCell ref="AG26:AH26"/>
    <mergeCell ref="BA38:BC38"/>
    <mergeCell ref="BD75:BE75"/>
    <mergeCell ref="AI88:AJ88"/>
    <mergeCell ref="AI82:AJ82"/>
    <mergeCell ref="AU181:AV181"/>
    <mergeCell ref="AR172:AT172"/>
    <mergeCell ref="AM98:AO98"/>
    <mergeCell ref="BD110:BE110"/>
    <mergeCell ref="BI175:BK175"/>
    <mergeCell ref="C7:F7"/>
    <mergeCell ref="AK57:AL57"/>
    <mergeCell ref="A123:B123"/>
    <mergeCell ref="AU176:AV176"/>
    <mergeCell ref="J20:L20"/>
    <mergeCell ref="AI90:AJ90"/>
    <mergeCell ref="BD199:BE199"/>
    <mergeCell ref="AK146:AL146"/>
    <mergeCell ref="BI183:BK183"/>
    <mergeCell ref="BI177:BK177"/>
    <mergeCell ref="BA33:BC33"/>
    <mergeCell ref="M60:Q60"/>
    <mergeCell ref="BF134:BH134"/>
    <mergeCell ref="AU178:AV178"/>
    <mergeCell ref="J22:L22"/>
    <mergeCell ref="A108:B108"/>
    <mergeCell ref="G197:I197"/>
    <mergeCell ref="AK58:AL58"/>
    <mergeCell ref="A118:B118"/>
    <mergeCell ref="AR12:AT12"/>
    <mergeCell ref="AU49:AV49"/>
    <mergeCell ref="BF167:BH167"/>
    <mergeCell ref="AE188:AF188"/>
    <mergeCell ref="J134:L134"/>
    <mergeCell ref="J51:L51"/>
    <mergeCell ref="BF55:BH55"/>
    <mergeCell ref="BI178:BK178"/>
    <mergeCell ref="AK60:AL60"/>
    <mergeCell ref="AM124:AO124"/>
    <mergeCell ref="AG166:AH166"/>
    <mergeCell ref="BF169:BH169"/>
    <mergeCell ref="AE190:AF190"/>
    <mergeCell ref="AR41:AT41"/>
    <mergeCell ref="Y116:AD116"/>
    <mergeCell ref="AY2:AZ2"/>
    <mergeCell ref="BD128:BE128"/>
    <mergeCell ref="AY29:AZ29"/>
    <mergeCell ref="C25:F25"/>
    <mergeCell ref="BA123:BC123"/>
    <mergeCell ref="AG37:AH37"/>
    <mergeCell ref="AI141:AJ141"/>
    <mergeCell ref="AM126:AO126"/>
    <mergeCell ref="AR7:AT7"/>
    <mergeCell ref="BF40:BH40"/>
    <mergeCell ref="C183:F183"/>
    <mergeCell ref="AM109:AO109"/>
    <mergeCell ref="AR43:AT43"/>
    <mergeCell ref="AI12:AJ12"/>
    <mergeCell ref="A134:B134"/>
    <mergeCell ref="AI143:AJ143"/>
    <mergeCell ref="AY31:AZ31"/>
    <mergeCell ref="G39:I39"/>
    <mergeCell ref="BD129:BE129"/>
    <mergeCell ref="AI14:AJ14"/>
    <mergeCell ref="M50:Q50"/>
    <mergeCell ref="AI136:AJ136"/>
    <mergeCell ref="AK70:AL70"/>
    <mergeCell ref="J77:L77"/>
    <mergeCell ref="BF37:BH37"/>
    <mergeCell ref="AI13:AJ13"/>
    <mergeCell ref="AK42:AL42"/>
    <mergeCell ref="BF195:BH195"/>
    <mergeCell ref="BI196:BK196"/>
    <mergeCell ref="Y172:AD172"/>
    <mergeCell ref="AK200:AL200"/>
    <mergeCell ref="P1:T1"/>
    <mergeCell ref="AE32:AF32"/>
    <mergeCell ref="AU191:AV191"/>
    <mergeCell ref="J35:L35"/>
    <mergeCell ref="Y17:AD17"/>
    <mergeCell ref="BF66:BH66"/>
    <mergeCell ref="A162:B162"/>
    <mergeCell ref="AK71:AL71"/>
    <mergeCell ref="BF197:BH197"/>
    <mergeCell ref="AR25:AT25"/>
    <mergeCell ref="R58:X58"/>
    <mergeCell ref="C78:F78"/>
    <mergeCell ref="AG96:AH96"/>
    <mergeCell ref="Y46:AD46"/>
    <mergeCell ref="G65:I65"/>
    <mergeCell ref="J66:L66"/>
    <mergeCell ref="BF68:BH68"/>
    <mergeCell ref="A164:B164"/>
    <mergeCell ref="AK73:AL73"/>
    <mergeCell ref="AM137:AO137"/>
    <mergeCell ref="AW168:AX168"/>
    <mergeCell ref="R60:X60"/>
    <mergeCell ref="Y12:AD12"/>
    <mergeCell ref="C107:F107"/>
    <mergeCell ref="AI154:AJ154"/>
    <mergeCell ref="Y48:AD48"/>
    <mergeCell ref="AM164:AO164"/>
    <mergeCell ref="AM139:AO139"/>
    <mergeCell ref="G50:I50"/>
    <mergeCell ref="C79:F79"/>
    <mergeCell ref="A195:B195"/>
    <mergeCell ref="AG91:AH91"/>
    <mergeCell ref="C73:F73"/>
    <mergeCell ref="M105:Q105"/>
    <mergeCell ref="AI25:AJ25"/>
    <mergeCell ref="Y41:AD41"/>
    <mergeCell ref="J61:L61"/>
    <mergeCell ref="AI156:AJ156"/>
    <mergeCell ref="J97:L97"/>
    <mergeCell ref="A188:B188"/>
    <mergeCell ref="G52:I52"/>
    <mergeCell ref="AM51:AO51"/>
    <mergeCell ref="AG93:AH93"/>
    <mergeCell ref="AU113:AV113"/>
    <mergeCell ref="BD142:BE142"/>
    <mergeCell ref="AE60:AF60"/>
    <mergeCell ref="AI155:AJ155"/>
    <mergeCell ref="M101:Q101"/>
    <mergeCell ref="Y43:AD43"/>
    <mergeCell ref="BF119:BH119"/>
    <mergeCell ref="A68:B68"/>
    <mergeCell ref="AK124:AL124"/>
    <mergeCell ref="A190:B190"/>
    <mergeCell ref="AU121:AV121"/>
    <mergeCell ref="AU115:AV115"/>
    <mergeCell ref="AP41:AQ41"/>
    <mergeCell ref="R86:X86"/>
    <mergeCell ref="AI151:AJ151"/>
    <mergeCell ref="R42:X42"/>
    <mergeCell ref="AE45:AF45"/>
    <mergeCell ref="AI180:AJ180"/>
    <mergeCell ref="Y74:AD74"/>
    <mergeCell ref="AK126:AL126"/>
    <mergeCell ref="AG20:AH20"/>
    <mergeCell ref="AP43:AQ43"/>
    <mergeCell ref="AW179:AX179"/>
    <mergeCell ref="AW39:AX39"/>
    <mergeCell ref="C135:F135"/>
    <mergeCell ref="AM67:AO67"/>
    <mergeCell ref="AY95:AZ95"/>
    <mergeCell ref="AG109:AH109"/>
    <mergeCell ref="AM61:AO61"/>
    <mergeCell ref="J148:L148"/>
    <mergeCell ref="Y59:AD59"/>
    <mergeCell ref="G78:I78"/>
    <mergeCell ref="AG22:AH22"/>
    <mergeCell ref="AI84:AJ84"/>
    <mergeCell ref="AE46:AF46"/>
    <mergeCell ref="BF122:BH122"/>
    <mergeCell ref="AM69:AO69"/>
    <mergeCell ref="AY97:AZ97"/>
    <mergeCell ref="Y25:AD25"/>
    <mergeCell ref="G80:I80"/>
    <mergeCell ref="AI86:AJ86"/>
    <mergeCell ref="BD195:BE195"/>
    <mergeCell ref="AM35:AO35"/>
    <mergeCell ref="AI80:AJ80"/>
    <mergeCell ref="C92:F92"/>
    <mergeCell ref="AK142:AL142"/>
    <mergeCell ref="AM193:AO193"/>
    <mergeCell ref="J105:L105"/>
    <mergeCell ref="J143:L143"/>
    <mergeCell ref="BA29:BC29"/>
    <mergeCell ref="AI79:AJ79"/>
    <mergeCell ref="M31:Q31"/>
    <mergeCell ref="AU174:AV174"/>
    <mergeCell ref="BD197:BE197"/>
    <mergeCell ref="AP69:AQ69"/>
    <mergeCell ref="AK144:AL144"/>
    <mergeCell ref="BF138:BH138"/>
    <mergeCell ref="BD11:BE11"/>
    <mergeCell ref="BA31:BC31"/>
    <mergeCell ref="BD68:BE68"/>
    <mergeCell ref="AI81:AJ81"/>
    <mergeCell ref="BF132:BH132"/>
    <mergeCell ref="AG162:AH162"/>
    <mergeCell ref="R99:X99"/>
    <mergeCell ref="AW50:AX50"/>
    <mergeCell ref="C146:F146"/>
    <mergeCell ref="M26:Q26"/>
    <mergeCell ref="Y112:AD112"/>
    <mergeCell ref="AK139:AL139"/>
    <mergeCell ref="AG33:AH33"/>
    <mergeCell ref="AM122:AO122"/>
    <mergeCell ref="G8:I8"/>
    <mergeCell ref="R101:X101"/>
    <mergeCell ref="AR39:AT39"/>
    <mergeCell ref="AR14:AT14"/>
    <mergeCell ref="AG43:AH43"/>
    <mergeCell ref="Y114:AD114"/>
    <mergeCell ref="J161:L161"/>
    <mergeCell ref="BI17:BK17"/>
    <mergeCell ref="J167:L167"/>
    <mergeCell ref="AY27:AZ27"/>
    <mergeCell ref="BA91:BC91"/>
    <mergeCell ref="AG35:AH35"/>
    <mergeCell ref="M171:Q171"/>
    <mergeCell ref="C181:F181"/>
    <mergeCell ref="G10:I10"/>
    <mergeCell ref="AP87:AQ87"/>
    <mergeCell ref="BA57:BC57"/>
    <mergeCell ref="AG34:AH34"/>
    <mergeCell ref="BI19:BK19"/>
    <mergeCell ref="AK172:AL172"/>
    <mergeCell ref="AI99:AJ99"/>
    <mergeCell ref="M173:Q173"/>
    <mergeCell ref="C174:F174"/>
    <mergeCell ref="J162:L162"/>
    <mergeCell ref="BF160:BH160"/>
    <mergeCell ref="AY22:AZ22"/>
    <mergeCell ref="C18:F18"/>
    <mergeCell ref="BA86:BC86"/>
    <mergeCell ref="AE3:AF3"/>
    <mergeCell ref="AK165:AL165"/>
    <mergeCell ref="AU187:AV187"/>
    <mergeCell ref="AG59:AH59"/>
    <mergeCell ref="AP88:AQ88"/>
    <mergeCell ref="AP82:AQ82"/>
    <mergeCell ref="AE117:AF117"/>
    <mergeCell ref="J164:L164"/>
    <mergeCell ref="A133:B133"/>
    <mergeCell ref="BF193:BH193"/>
    <mergeCell ref="AR65:AT65"/>
    <mergeCell ref="Y140:AD140"/>
    <mergeCell ref="R29:X29"/>
    <mergeCell ref="AI94:AJ94"/>
    <mergeCell ref="AU189:AV189"/>
    <mergeCell ref="AY9:AZ9"/>
    <mergeCell ref="AG61:AH61"/>
    <mergeCell ref="AY167:AZ167"/>
    <mergeCell ref="AM133:AO133"/>
    <mergeCell ref="AM108:AO108"/>
    <mergeCell ref="G150:I150"/>
    <mergeCell ref="AR50:AT50"/>
    <mergeCell ref="J189:L189"/>
    <mergeCell ref="R31:X31"/>
    <mergeCell ref="AY11:AZ11"/>
    <mergeCell ref="BA75:BC75"/>
    <mergeCell ref="AI125:AJ125"/>
    <mergeCell ref="AR60:AT60"/>
    <mergeCell ref="AY169:AZ169"/>
    <mergeCell ref="AM135:AO135"/>
    <mergeCell ref="G21:I21"/>
    <mergeCell ref="R24:X24"/>
    <mergeCell ref="C44:F44"/>
    <mergeCell ref="AG62:AH62"/>
    <mergeCell ref="J180:L180"/>
    <mergeCell ref="AP17:AQ17"/>
    <mergeCell ref="J57:L57"/>
    <mergeCell ref="C80:F80"/>
    <mergeCell ref="AY40:AZ40"/>
    <mergeCell ref="BA104:BC104"/>
    <mergeCell ref="AI127:AJ127"/>
    <mergeCell ref="AY162:AZ162"/>
    <mergeCell ref="G23:I23"/>
    <mergeCell ref="J146:L146"/>
    <mergeCell ref="R26:X26"/>
    <mergeCell ref="M103:Q103"/>
    <mergeCell ref="BA70:BC70"/>
    <mergeCell ref="AI120:AJ120"/>
    <mergeCell ref="Y39:AD39"/>
    <mergeCell ref="AP141:AQ141"/>
    <mergeCell ref="BA106:BC106"/>
    <mergeCell ref="M96:Q96"/>
    <mergeCell ref="BF179:BH179"/>
    <mergeCell ref="AP12:AQ12"/>
    <mergeCell ref="BA105:BC105"/>
    <mergeCell ref="AI147:AJ147"/>
    <mergeCell ref="AW8:AX8"/>
    <mergeCell ref="BA99:BC99"/>
    <mergeCell ref="AY37:AZ37"/>
    <mergeCell ref="AW2:AX2"/>
    <mergeCell ref="AE16:AF16"/>
    <mergeCell ref="AP143:AQ143"/>
    <mergeCell ref="G18:I18"/>
    <mergeCell ref="R171:X171"/>
    <mergeCell ref="M98:Q98"/>
    <mergeCell ref="AR84:AT84"/>
    <mergeCell ref="A146:B146"/>
    <mergeCell ref="Y159:AD159"/>
    <mergeCell ref="AP14:AQ14"/>
    <mergeCell ref="AR78:AT78"/>
    <mergeCell ref="Y153:AD153"/>
    <mergeCell ref="C131:F131"/>
    <mergeCell ref="BD165:BE165"/>
    <mergeCell ref="AE18:AF18"/>
    <mergeCell ref="AY66:AZ66"/>
    <mergeCell ref="AI178:AJ178"/>
    <mergeCell ref="AK25:AL25"/>
    <mergeCell ref="AM146:AO146"/>
    <mergeCell ref="AR80:AT80"/>
    <mergeCell ref="AI49:AJ49"/>
    <mergeCell ref="Y65:AD65"/>
    <mergeCell ref="G163:I163"/>
    <mergeCell ref="AY93:AZ93"/>
    <mergeCell ref="R44:X44"/>
    <mergeCell ref="AY68:AZ68"/>
    <mergeCell ref="G76:I76"/>
    <mergeCell ref="BD166:BE166"/>
    <mergeCell ref="C126:F126"/>
    <mergeCell ref="BI91:BK91"/>
    <mergeCell ref="AI173:AJ173"/>
    <mergeCell ref="G165:I165"/>
    <mergeCell ref="Y23:AD23"/>
    <mergeCell ref="BD37:BE37"/>
    <mergeCell ref="BI84:BK84"/>
    <mergeCell ref="AK115:AL115"/>
    <mergeCell ref="C117:F117"/>
    <mergeCell ref="M116:Q116"/>
    <mergeCell ref="AE69:AF69"/>
    <mergeCell ref="G77:I77"/>
    <mergeCell ref="AP154:AQ154"/>
    <mergeCell ref="BI86:BK86"/>
    <mergeCell ref="AK108:AL108"/>
    <mergeCell ref="A199:B199"/>
    <mergeCell ref="AM3:AN3"/>
    <mergeCell ref="AP25:AQ25"/>
    <mergeCell ref="R95:X95"/>
    <mergeCell ref="AW46:AX46"/>
    <mergeCell ref="AW21:AX21"/>
    <mergeCell ref="R70:X70"/>
    <mergeCell ref="C115:F115"/>
    <mergeCell ref="AG133:AH133"/>
    <mergeCell ref="AR8:AT8"/>
    <mergeCell ref="Y83:AD83"/>
    <mergeCell ref="AP156:AQ156"/>
    <mergeCell ref="R97:X97"/>
    <mergeCell ref="AW48:AX48"/>
    <mergeCell ref="C150:F150"/>
    <mergeCell ref="C144:F144"/>
    <mergeCell ref="BD184:BE184"/>
    <mergeCell ref="AY104:AZ104"/>
    <mergeCell ref="AR10:AT10"/>
    <mergeCell ref="Y85:AD85"/>
    <mergeCell ref="AI191:AJ191"/>
    <mergeCell ref="AR63:AT63"/>
    <mergeCell ref="J132:L132"/>
    <mergeCell ref="AE72:AF72"/>
    <mergeCell ref="G87:I87"/>
    <mergeCell ref="R96:X96"/>
    <mergeCell ref="AG128:AH128"/>
    <mergeCell ref="M142:Q142"/>
    <mergeCell ref="AY112:AZ112"/>
    <mergeCell ref="Y78:AD78"/>
    <mergeCell ref="AG164:AH164"/>
    <mergeCell ref="BA176:BC176"/>
    <mergeCell ref="BI15:BK15"/>
    <mergeCell ref="G95:I95"/>
    <mergeCell ref="G89:I89"/>
    <mergeCell ref="R98:X98"/>
    <mergeCell ref="AY122:AZ122"/>
    <mergeCell ref="C145:F145"/>
    <mergeCell ref="A41:B41"/>
    <mergeCell ref="M144:Q144"/>
    <mergeCell ref="M169:Q169"/>
    <mergeCell ref="BD39:BE39"/>
    <mergeCell ref="BI104:BK104"/>
    <mergeCell ref="BD179:BE179"/>
    <mergeCell ref="Y80:AD80"/>
    <mergeCell ref="AI192:AJ192"/>
    <mergeCell ref="G88:I88"/>
    <mergeCell ref="AK161:AL161"/>
    <mergeCell ref="AP84:AQ84"/>
    <mergeCell ref="AP78:AQ78"/>
    <mergeCell ref="BA171:BC171"/>
    <mergeCell ref="R123:X123"/>
    <mergeCell ref="AW74:AX74"/>
    <mergeCell ref="AE88:AF88"/>
    <mergeCell ref="M12:Q12"/>
    <mergeCell ref="AE82:AF82"/>
    <mergeCell ref="G90:I90"/>
    <mergeCell ref="M164:Q164"/>
    <mergeCell ref="AP86:AQ86"/>
    <mergeCell ref="AR150:AT150"/>
    <mergeCell ref="AP80:AQ80"/>
    <mergeCell ref="BE2:BF2"/>
    <mergeCell ref="AW76:AX76"/>
    <mergeCell ref="AY138:AZ138"/>
    <mergeCell ref="C134:F134"/>
    <mergeCell ref="R108:X108"/>
    <mergeCell ref="M41:Q41"/>
    <mergeCell ref="AY132:AZ132"/>
    <mergeCell ref="AG146:AH146"/>
    <mergeCell ref="G115:I115"/>
    <mergeCell ref="AR152:AT152"/>
    <mergeCell ref="AE83:AF83"/>
    <mergeCell ref="BD21:BE21"/>
    <mergeCell ref="C163:F163"/>
    <mergeCell ref="R20:X20"/>
    <mergeCell ref="AG58:AH58"/>
    <mergeCell ref="AR23:AT23"/>
    <mergeCell ref="AR145:AT145"/>
    <mergeCell ref="M66:Q66"/>
    <mergeCell ref="AI123:AJ123"/>
    <mergeCell ref="M197:Q197"/>
    <mergeCell ref="R109:X109"/>
    <mergeCell ref="BI157:BK157"/>
    <mergeCell ref="J186:L186"/>
    <mergeCell ref="K3:O3"/>
    <mergeCell ref="G141:I141"/>
    <mergeCell ref="R22:X22"/>
    <mergeCell ref="AG60:AH60"/>
    <mergeCell ref="AR147:AT147"/>
    <mergeCell ref="BI34:BK34"/>
    <mergeCell ref="M68:Q68"/>
    <mergeCell ref="AI116:AJ116"/>
    <mergeCell ref="Y10:AD10"/>
    <mergeCell ref="BI28:BK28"/>
    <mergeCell ref="AP106:AQ106"/>
    <mergeCell ref="M188:Q188"/>
    <mergeCell ref="C158:F158"/>
    <mergeCell ref="AU29:AV29"/>
    <mergeCell ref="M67:Q67"/>
    <mergeCell ref="BF175:BH175"/>
    <mergeCell ref="AI118:AJ118"/>
    <mergeCell ref="AK180:AL180"/>
    <mergeCell ref="BI30:BK30"/>
    <mergeCell ref="AE12:AF12"/>
    <mergeCell ref="AP114:AQ114"/>
    <mergeCell ref="G14:I14"/>
    <mergeCell ref="AU31:AV31"/>
    <mergeCell ref="R167:X167"/>
    <mergeCell ref="M69:Q69"/>
    <mergeCell ref="AW87:AX87"/>
    <mergeCell ref="BI29:BK29"/>
    <mergeCell ref="Y155:AD155"/>
    <mergeCell ref="BA103:BC103"/>
    <mergeCell ref="J173:L173"/>
    <mergeCell ref="AW6:AX6"/>
    <mergeCell ref="BA97:BC97"/>
    <mergeCell ref="AE14:AF14"/>
    <mergeCell ref="AY62:AZ62"/>
    <mergeCell ref="AG70:AH70"/>
    <mergeCell ref="AR163:AT163"/>
    <mergeCell ref="R169:X169"/>
    <mergeCell ref="C191:F191"/>
    <mergeCell ref="AK21:AL21"/>
    <mergeCell ref="AW89:AX89"/>
    <mergeCell ref="AY176:AZ176"/>
    <mergeCell ref="AR76:AT76"/>
    <mergeCell ref="AY28:AZ28"/>
    <mergeCell ref="Y151:AD151"/>
    <mergeCell ref="G159:I159"/>
    <mergeCell ref="BI54:BK54"/>
    <mergeCell ref="G134:I134"/>
    <mergeCell ref="AY64:AZ64"/>
    <mergeCell ref="R162:X162"/>
    <mergeCell ref="BI185:BK185"/>
    <mergeCell ref="AR165:AT165"/>
    <mergeCell ref="AI134:AJ134"/>
    <mergeCell ref="AY186:AZ186"/>
    <mergeCell ref="J198:L198"/>
    <mergeCell ref="BD103:BE103"/>
    <mergeCell ref="Y150:AD150"/>
    <mergeCell ref="AK50:AL50"/>
    <mergeCell ref="A116:B116"/>
    <mergeCell ref="AG71:AH71"/>
    <mergeCell ref="G161:I161"/>
    <mergeCell ref="BF17:BH17"/>
    <mergeCell ref="BI56:BK56"/>
    <mergeCell ref="R164:X164"/>
    <mergeCell ref="BI176:BK176"/>
    <mergeCell ref="AR77:AT77"/>
    <mergeCell ref="Y152:AD152"/>
    <mergeCell ref="J199:L199"/>
    <mergeCell ref="AK52:AL52"/>
    <mergeCell ref="BA129:BC129"/>
    <mergeCell ref="R35:X35"/>
    <mergeCell ref="BF19:BH19"/>
    <mergeCell ref="BF46:BH46"/>
    <mergeCell ref="AP150:AQ150"/>
    <mergeCell ref="AP125:AQ125"/>
    <mergeCell ref="M122:Q122"/>
    <mergeCell ref="AE154:AF154"/>
    <mergeCell ref="AU42:AV42"/>
    <mergeCell ref="BA131:BC131"/>
    <mergeCell ref="BF12:BH12"/>
    <mergeCell ref="G156:I156"/>
    <mergeCell ref="BA87:BC87"/>
    <mergeCell ref="BF48:BH48"/>
    <mergeCell ref="AW17:AX17"/>
    <mergeCell ref="R66:X66"/>
    <mergeCell ref="AU77:AV77"/>
    <mergeCell ref="AW11:AX11"/>
    <mergeCell ref="AE25:AF25"/>
    <mergeCell ref="AK53:AL53"/>
    <mergeCell ref="BD7:BE7"/>
    <mergeCell ref="AP152:AQ152"/>
    <mergeCell ref="R188:X188"/>
    <mergeCell ref="AE183:AF183"/>
    <mergeCell ref="AM170:AO170"/>
    <mergeCell ref="M107:Q107"/>
    <mergeCell ref="BF14:BH14"/>
    <mergeCell ref="AE35:AF35"/>
    <mergeCell ref="G187:I187"/>
    <mergeCell ref="AR87:AT87"/>
    <mergeCell ref="R68:X68"/>
    <mergeCell ref="AW19:AX19"/>
    <mergeCell ref="AW141:AX141"/>
    <mergeCell ref="R190:X190"/>
    <mergeCell ref="AE149:AF149"/>
    <mergeCell ref="AY75:AZ75"/>
    <mergeCell ref="C53:F53"/>
    <mergeCell ref="AK78:AL78"/>
    <mergeCell ref="AM172:AO172"/>
    <mergeCell ref="G180:I180"/>
    <mergeCell ref="AR95:AT95"/>
    <mergeCell ref="R61:X61"/>
    <mergeCell ref="AG124:AH124"/>
    <mergeCell ref="AR89:AT89"/>
    <mergeCell ref="M138:Q138"/>
    <mergeCell ref="Y170:AD170"/>
    <mergeCell ref="AW143:AX143"/>
    <mergeCell ref="AP176:AQ176"/>
    <mergeCell ref="Y49:AD49"/>
    <mergeCell ref="AE180:AF180"/>
    <mergeCell ref="Y163:AD163"/>
    <mergeCell ref="AG126:AH126"/>
    <mergeCell ref="BA113:BC113"/>
    <mergeCell ref="A12:B12"/>
    <mergeCell ref="AW14:AX14"/>
    <mergeCell ref="BI100:BK100"/>
    <mergeCell ref="M140:Q140"/>
    <mergeCell ref="C141:F141"/>
    <mergeCell ref="Y76:AD76"/>
    <mergeCell ref="J129:L129"/>
    <mergeCell ref="AP178:AQ178"/>
    <mergeCell ref="G84:I84"/>
    <mergeCell ref="AU95:AV95"/>
    <mergeCell ref="BI110:BK110"/>
    <mergeCell ref="AR90:AT90"/>
    <mergeCell ref="M133:Q133"/>
    <mergeCell ref="C143:F143"/>
    <mergeCell ref="AI190:AJ190"/>
    <mergeCell ref="A14:B14"/>
    <mergeCell ref="AP49:AQ49"/>
    <mergeCell ref="BI102:BK102"/>
    <mergeCell ref="BA142:BC142"/>
    <mergeCell ref="BA167:BC167"/>
    <mergeCell ref="G86:I86"/>
    <mergeCell ref="BA55:BC55"/>
    <mergeCell ref="AU97:AV97"/>
    <mergeCell ref="AW159:AX159"/>
    <mergeCell ref="M135:Q135"/>
    <mergeCell ref="AR121:AT121"/>
    <mergeCell ref="Y196:AD196"/>
    <mergeCell ref="AM14:AO14"/>
    <mergeCell ref="AR115:AT115"/>
    <mergeCell ref="A43:B43"/>
    <mergeCell ref="AW72:AX72"/>
    <mergeCell ref="BA144:BC144"/>
    <mergeCell ref="AU96:AV96"/>
    <mergeCell ref="BA169:BC169"/>
    <mergeCell ref="J59:L59"/>
    <mergeCell ref="AM13:AO13"/>
    <mergeCell ref="AW161:AX161"/>
    <mergeCell ref="AE79:AF79"/>
    <mergeCell ref="AM43:AO43"/>
    <mergeCell ref="AY136:AZ136"/>
    <mergeCell ref="AW154:AX154"/>
    <mergeCell ref="AR116:AT116"/>
    <mergeCell ref="R122:X122"/>
    <mergeCell ref="AE81:AF81"/>
    <mergeCell ref="R105:X105"/>
    <mergeCell ref="AY129:AZ129"/>
    <mergeCell ref="BI128:BK128"/>
    <mergeCell ref="AG181:AH181"/>
    <mergeCell ref="M193:Q193"/>
    <mergeCell ref="BD46:BE46"/>
    <mergeCell ref="AW156:AX156"/>
    <mergeCell ref="AR143:AT143"/>
    <mergeCell ref="BA37:BC37"/>
    <mergeCell ref="AR118:AT118"/>
    <mergeCell ref="G148:I148"/>
    <mergeCell ref="R107:X107"/>
    <mergeCell ref="AE110:AF110"/>
    <mergeCell ref="AK3:AL3"/>
    <mergeCell ref="AY131:AZ131"/>
    <mergeCell ref="AG139:AH139"/>
    <mergeCell ref="A25:B25"/>
    <mergeCell ref="M153:Q153"/>
    <mergeCell ref="K1:O1"/>
    <mergeCell ref="BF112:BH112"/>
    <mergeCell ref="G114:I114"/>
    <mergeCell ref="C154:F154"/>
    <mergeCell ref="AP191:AQ191"/>
    <mergeCell ref="BI123:BK123"/>
    <mergeCell ref="BA197:BC197"/>
    <mergeCell ref="C156:F156"/>
    <mergeCell ref="AU27:AV27"/>
    <mergeCell ref="AM25:AO25"/>
    <mergeCell ref="R138:X138"/>
    <mergeCell ref="AE141:AF141"/>
    <mergeCell ref="M65:Q65"/>
    <mergeCell ref="AW83:AX83"/>
    <mergeCell ref="AE135:AF135"/>
    <mergeCell ref="G143:I143"/>
    <mergeCell ref="AG170:AH170"/>
    <mergeCell ref="G99:I99"/>
    <mergeCell ref="Y120:AD120"/>
    <mergeCell ref="BA68:BC68"/>
    <mergeCell ref="AE107:AF107"/>
    <mergeCell ref="AM33:AO33"/>
    <mergeCell ref="AR134:AT134"/>
    <mergeCell ref="AG172:AH172"/>
    <mergeCell ref="AW85:AX85"/>
    <mergeCell ref="AE99:AF99"/>
    <mergeCell ref="BI27:BK27"/>
    <mergeCell ref="AG199:AH199"/>
    <mergeCell ref="AR169:AT169"/>
    <mergeCell ref="G130:I130"/>
    <mergeCell ref="AU22:AV22"/>
    <mergeCell ref="AW84:AX84"/>
    <mergeCell ref="R133:X133"/>
    <mergeCell ref="AE136:AF136"/>
    <mergeCell ref="AG165:AH165"/>
    <mergeCell ref="M179:Q179"/>
    <mergeCell ref="C180:F180"/>
    <mergeCell ref="BD74:BE74"/>
    <mergeCell ref="Y121:AD121"/>
    <mergeCell ref="AY149:AZ149"/>
    <mergeCell ref="A112:B112"/>
    <mergeCell ref="Y115:AD115"/>
    <mergeCell ref="BI52:BK52"/>
    <mergeCell ref="AM28:AO28"/>
    <mergeCell ref="G132:I132"/>
    <mergeCell ref="R135:X135"/>
    <mergeCell ref="C182:F182"/>
    <mergeCell ref="BD76:BE76"/>
    <mergeCell ref="C5:F6"/>
    <mergeCell ref="A114:B114"/>
    <mergeCell ref="AK23:AL23"/>
    <mergeCell ref="J195:L195"/>
    <mergeCell ref="G125:I125"/>
    <mergeCell ref="AU167:AV167"/>
    <mergeCell ref="C200:F200"/>
    <mergeCell ref="AP121:AQ121"/>
    <mergeCell ref="BI174:BK174"/>
    <mergeCell ref="AP115:AQ115"/>
    <mergeCell ref="A107:B107"/>
    <mergeCell ref="AY144:AZ144"/>
    <mergeCell ref="AW111:AX111"/>
    <mergeCell ref="AU38:AV38"/>
    <mergeCell ref="BI53:BK53"/>
    <mergeCell ref="M49:Q49"/>
    <mergeCell ref="AE125:AF125"/>
    <mergeCell ref="BF8:BH8"/>
    <mergeCell ref="G127:I127"/>
    <mergeCell ref="AG41:AH41"/>
    <mergeCell ref="AU169:AV169"/>
    <mergeCell ref="J197:L197"/>
    <mergeCell ref="BI167:BK167"/>
    <mergeCell ref="AU48:AV48"/>
    <mergeCell ref="AP123:AQ123"/>
    <mergeCell ref="J11:L11"/>
    <mergeCell ref="AR187:AT187"/>
    <mergeCell ref="AK43:AL43"/>
    <mergeCell ref="AK18:AL18"/>
    <mergeCell ref="AU40:AV40"/>
    <mergeCell ref="BI55:BK55"/>
    <mergeCell ref="AU162:AV162"/>
    <mergeCell ref="AY175:AZ175"/>
    <mergeCell ref="M78:Q78"/>
    <mergeCell ref="BD92:BE92"/>
    <mergeCell ref="R186:X186"/>
    <mergeCell ref="AW112:AX112"/>
    <mergeCell ref="AR189:AT189"/>
    <mergeCell ref="AK51:AL51"/>
    <mergeCell ref="AE120:AF120"/>
    <mergeCell ref="C24:F24"/>
    <mergeCell ref="R153:X153"/>
    <mergeCell ref="AE156:AF156"/>
    <mergeCell ref="BF39:BH39"/>
    <mergeCell ref="AR188:AT188"/>
    <mergeCell ref="AR182:AT182"/>
    <mergeCell ref="AI101:AJ101"/>
    <mergeCell ref="AK163:AL163"/>
    <mergeCell ref="R146:X146"/>
    <mergeCell ref="AY170:AZ170"/>
    <mergeCell ref="BI194:BK194"/>
    <mergeCell ref="AS2:AT2"/>
    <mergeCell ref="C26:F26"/>
    <mergeCell ref="AK76:AL76"/>
    <mergeCell ref="BD87:BE87"/>
    <mergeCell ref="AU195:AV195"/>
    <mergeCell ref="J39:L39"/>
    <mergeCell ref="BD6:BE6"/>
    <mergeCell ref="BI71:BK71"/>
    <mergeCell ref="Y47:AD47"/>
    <mergeCell ref="AY197:AZ197"/>
    <mergeCell ref="AY172:AZ172"/>
    <mergeCell ref="AU66:AV66"/>
    <mergeCell ref="Y161:AD161"/>
    <mergeCell ref="BD89:BE89"/>
    <mergeCell ref="BA138:BC138"/>
    <mergeCell ref="BF72:BH72"/>
    <mergeCell ref="BI195:BK195"/>
    <mergeCell ref="G5:I6"/>
    <mergeCell ref="BF28:BH28"/>
    <mergeCell ref="AK77:AL77"/>
    <mergeCell ref="AM141:AO141"/>
    <mergeCell ref="AP134:AQ134"/>
    <mergeCell ref="AU68:AV68"/>
    <mergeCell ref="AR58:AT58"/>
    <mergeCell ref="AW130:AX130"/>
    <mergeCell ref="BF65:BH65"/>
    <mergeCell ref="BI66:BK66"/>
    <mergeCell ref="BA140:BC140"/>
    <mergeCell ref="A39:B39"/>
    <mergeCell ref="BD145:BE145"/>
    <mergeCell ref="Y192:AD192"/>
    <mergeCell ref="BI197:BK197"/>
    <mergeCell ref="AG113:AH113"/>
    <mergeCell ref="AW157:AX157"/>
    <mergeCell ref="AI29:AJ29"/>
    <mergeCell ref="J65:L65"/>
    <mergeCell ref="AE50:AF50"/>
    <mergeCell ref="G196:I196"/>
    <mergeCell ref="R199:X199"/>
    <mergeCell ref="AR112:AT112"/>
    <mergeCell ref="BD18:BE18"/>
    <mergeCell ref="BD140:BE140"/>
    <mergeCell ref="Y187:AD187"/>
    <mergeCell ref="A153:B153"/>
    <mergeCell ref="AG108:AH108"/>
    <mergeCell ref="BF54:BH54"/>
    <mergeCell ref="BD17:BE17"/>
    <mergeCell ref="AW152:AX152"/>
    <mergeCell ref="AI24:AJ24"/>
    <mergeCell ref="AU119:AV119"/>
    <mergeCell ref="BD148:BE148"/>
    <mergeCell ref="AR114:AT114"/>
    <mergeCell ref="Y189:AD189"/>
    <mergeCell ref="AK89:AL89"/>
    <mergeCell ref="BI126:BK126"/>
    <mergeCell ref="G51:I51"/>
    <mergeCell ref="BF83:BH83"/>
    <mergeCell ref="AI26:AJ26"/>
    <mergeCell ref="AK88:AL88"/>
    <mergeCell ref="AW183:AX183"/>
    <mergeCell ref="BI119:BK119"/>
    <mergeCell ref="BA193:BC193"/>
    <mergeCell ref="Z2:AD2"/>
    <mergeCell ref="BF49:BH49"/>
    <mergeCell ref="BA168:BC168"/>
    <mergeCell ref="BF110:BH110"/>
    <mergeCell ref="BF85:BH85"/>
    <mergeCell ref="AW54:AX54"/>
    <mergeCell ref="AU114:AV114"/>
    <mergeCell ref="AW176:AX176"/>
    <mergeCell ref="AK90:AL90"/>
    <mergeCell ref="A181:B181"/>
    <mergeCell ref="AP189:AQ189"/>
    <mergeCell ref="C124:F124"/>
    <mergeCell ref="AR130:AT130"/>
    <mergeCell ref="AU122:AV122"/>
    <mergeCell ref="BA153:BC153"/>
    <mergeCell ref="A52:B52"/>
    <mergeCell ref="BD158:BE158"/>
    <mergeCell ref="AW56:AX56"/>
    <mergeCell ref="J112:L112"/>
    <mergeCell ref="AI171:AJ171"/>
    <mergeCell ref="AW178:AX178"/>
    <mergeCell ref="C90:F90"/>
    <mergeCell ref="AI42:AJ42"/>
    <mergeCell ref="AR132:AT132"/>
    <mergeCell ref="AM58:AO58"/>
    <mergeCell ref="J78:L78"/>
    <mergeCell ref="BD160:BE160"/>
    <mergeCell ref="AG161:AH161"/>
    <mergeCell ref="AG197:AH197"/>
    <mergeCell ref="A83:B83"/>
    <mergeCell ref="BD159:BE159"/>
    <mergeCell ref="AM24:AO24"/>
    <mergeCell ref="C119:F119"/>
    <mergeCell ref="AI44:AJ44"/>
    <mergeCell ref="AM60:AO60"/>
    <mergeCell ref="A49:B49"/>
    <mergeCell ref="M177:Q177"/>
    <mergeCell ref="BD72:BE72"/>
    <mergeCell ref="BI137:BK137"/>
    <mergeCell ref="BA2:BB2"/>
    <mergeCell ref="AK19:AL19"/>
    <mergeCell ref="AK141:AL141"/>
    <mergeCell ref="AU138:AV138"/>
    <mergeCell ref="AU132:AV132"/>
    <mergeCell ref="BD161:BE161"/>
    <mergeCell ref="AR127:AT127"/>
    <mergeCell ref="M170:Q170"/>
    <mergeCell ref="BA179:BC179"/>
    <mergeCell ref="AK12:AL12"/>
    <mergeCell ref="A78:B78"/>
    <mergeCell ref="BI139:BK139"/>
    <mergeCell ref="AU9:AV9"/>
    <mergeCell ref="AK143:AL143"/>
    <mergeCell ref="G123:I123"/>
    <mergeCell ref="AW196:AX196"/>
    <mergeCell ref="BF15:BH15"/>
    <mergeCell ref="M172:Q172"/>
    <mergeCell ref="AM84:AO84"/>
    <mergeCell ref="C108:F108"/>
    <mergeCell ref="AK14:AL14"/>
    <mergeCell ref="A80:B80"/>
    <mergeCell ref="AU133:AV133"/>
    <mergeCell ref="AE150:AF150"/>
    <mergeCell ref="AM50:AO50"/>
    <mergeCell ref="AW198:AX198"/>
    <mergeCell ref="AM86:AO86"/>
    <mergeCell ref="AE116:AF116"/>
    <mergeCell ref="AM80:AO80"/>
    <mergeCell ref="C20:F20"/>
    <mergeCell ref="AU135:AV135"/>
    <mergeCell ref="AE152:AF152"/>
    <mergeCell ref="AY173:AZ173"/>
    <mergeCell ref="M46:Q46"/>
    <mergeCell ref="AW191:AX191"/>
    <mergeCell ref="J8:L8"/>
    <mergeCell ref="BF10:BH10"/>
    <mergeCell ref="C109:F109"/>
    <mergeCell ref="AM79:AO79"/>
    <mergeCell ref="AW110:AX110"/>
    <mergeCell ref="AK159:AL159"/>
    <mergeCell ref="AE118:AF118"/>
    <mergeCell ref="AY166:AZ166"/>
    <mergeCell ref="AG180:AH180"/>
    <mergeCell ref="BI165:BK165"/>
    <mergeCell ref="C22:F22"/>
    <mergeCell ref="BD83:BE83"/>
    <mergeCell ref="AI96:AJ96"/>
    <mergeCell ref="Y130:AD130"/>
    <mergeCell ref="J10:L10"/>
    <mergeCell ref="AM81:AO81"/>
    <mergeCell ref="AY168:AZ168"/>
    <mergeCell ref="AE147:AF147"/>
    <mergeCell ref="M14:Q14"/>
    <mergeCell ref="AU62:AV62"/>
    <mergeCell ref="BF155:BH155"/>
    <mergeCell ref="C51:F51"/>
    <mergeCell ref="BD85:BE85"/>
    <mergeCell ref="AI98:AJ98"/>
    <mergeCell ref="BF149:BH149"/>
    <mergeCell ref="AK154:AL154"/>
    <mergeCell ref="BI160:BK160"/>
    <mergeCell ref="AU64:AV64"/>
    <mergeCell ref="BF157:BH157"/>
    <mergeCell ref="BF151:BH151"/>
    <mergeCell ref="AW120:AX120"/>
    <mergeCell ref="AK156:AL156"/>
    <mergeCell ref="C38:F38"/>
    <mergeCell ref="AG50:AH50"/>
    <mergeCell ref="BF150:BH150"/>
    <mergeCell ref="AM70:AO70"/>
    <mergeCell ref="A124:B124"/>
    <mergeCell ref="AY8:AZ8"/>
    <mergeCell ref="BD109:BE109"/>
    <mergeCell ref="AY184:AZ184"/>
    <mergeCell ref="AU146:AV146"/>
    <mergeCell ref="AM10:AO10"/>
    <mergeCell ref="AM63:AO63"/>
    <mergeCell ref="BF152:BH152"/>
    <mergeCell ref="AW121:AX121"/>
    <mergeCell ref="R170:X170"/>
    <mergeCell ref="AE173:AF173"/>
    <mergeCell ref="AM99:AO99"/>
    <mergeCell ref="BD111:BE111"/>
    <mergeCell ref="C33:F33"/>
    <mergeCell ref="A149:B149"/>
    <mergeCell ref="AE165:AF165"/>
    <mergeCell ref="J21:L21"/>
    <mergeCell ref="R172:X172"/>
    <mergeCell ref="AR51:AT51"/>
    <mergeCell ref="AI20:AJ20"/>
    <mergeCell ref="M25:Q25"/>
    <mergeCell ref="AY39:AZ39"/>
    <mergeCell ref="C35:F35"/>
    <mergeCell ref="AG53:AH53"/>
    <mergeCell ref="A151:B151"/>
    <mergeCell ref="J23:L23"/>
    <mergeCell ref="BF79:BH79"/>
    <mergeCell ref="G198:I198"/>
    <mergeCell ref="AI22:AJ22"/>
    <mergeCell ref="AK84:AL84"/>
    <mergeCell ref="AK59:AL59"/>
    <mergeCell ref="A150:B150"/>
    <mergeCell ref="A144:B144"/>
    <mergeCell ref="AU75:AV75"/>
    <mergeCell ref="AG78:AH78"/>
    <mergeCell ref="BF81:BH81"/>
    <mergeCell ref="AP160:AQ160"/>
    <mergeCell ref="AK86:AL86"/>
    <mergeCell ref="AM150:AO150"/>
    <mergeCell ref="A152:B152"/>
    <mergeCell ref="R12:X12"/>
    <mergeCell ref="AK80:AL80"/>
    <mergeCell ref="C59:F59"/>
    <mergeCell ref="AE191:AF191"/>
    <mergeCell ref="AU199:AV199"/>
    <mergeCell ref="M115:Q115"/>
    <mergeCell ref="AW174:AX174"/>
    <mergeCell ref="Y30:AD30"/>
    <mergeCell ref="AM152:AO152"/>
    <mergeCell ref="G38:I38"/>
    <mergeCell ref="R41:X41"/>
    <mergeCell ref="C61:F61"/>
    <mergeCell ref="AY21:AZ21"/>
    <mergeCell ref="C122:F122"/>
    <mergeCell ref="J74:L74"/>
    <mergeCell ref="BF76:BH76"/>
    <mergeCell ref="BD155:BE155"/>
    <mergeCell ref="AY23:AZ23"/>
    <mergeCell ref="J103:L103"/>
    <mergeCell ref="BA6:BC6"/>
    <mergeCell ref="BI108:BK108"/>
    <mergeCell ref="AM147:AO147"/>
    <mergeCell ref="A172:B172"/>
    <mergeCell ref="BD157:BE157"/>
    <mergeCell ref="AP29:AQ29"/>
    <mergeCell ref="BD151:BE151"/>
    <mergeCell ref="AI164:AJ164"/>
    <mergeCell ref="P2:T2"/>
    <mergeCell ref="AE33:AF33"/>
    <mergeCell ref="A74:B74"/>
    <mergeCell ref="BA175:BC175"/>
    <mergeCell ref="AK114:AL114"/>
    <mergeCell ref="AI41:AJ41"/>
    <mergeCell ref="BF92:BH92"/>
    <mergeCell ref="AM178:AO178"/>
    <mergeCell ref="AI35:AJ35"/>
    <mergeCell ref="A163:B163"/>
    <mergeCell ref="AP31:AQ31"/>
    <mergeCell ref="BF102:BH102"/>
    <mergeCell ref="R59:X59"/>
    <mergeCell ref="A76:B76"/>
    <mergeCell ref="BA177:BC177"/>
    <mergeCell ref="AU129:AV129"/>
    <mergeCell ref="J92:L92"/>
    <mergeCell ref="BF94:BH94"/>
    <mergeCell ref="AK99:AL99"/>
    <mergeCell ref="AM163:AO163"/>
    <mergeCell ref="R25:X25"/>
    <mergeCell ref="AI66:AJ66"/>
    <mergeCell ref="AY110:AZ110"/>
    <mergeCell ref="Y38:AD38"/>
    <mergeCell ref="AU131:AV131"/>
    <mergeCell ref="AG3:AH3"/>
    <mergeCell ref="BF6:BH6"/>
    <mergeCell ref="AM165:AO165"/>
    <mergeCell ref="BD183:BE183"/>
    <mergeCell ref="C105:F105"/>
    <mergeCell ref="AI68:AJ68"/>
    <mergeCell ref="AU2:AV2"/>
    <mergeCell ref="R113:X113"/>
    <mergeCell ref="J87:L87"/>
    <mergeCell ref="BA17:BC17"/>
    <mergeCell ref="BD54:BE54"/>
    <mergeCell ref="AI67:AJ67"/>
    <mergeCell ref="G122:I122"/>
    <mergeCell ref="AI61:AJ61"/>
    <mergeCell ref="J123:L123"/>
    <mergeCell ref="BD185:BE185"/>
    <mergeCell ref="AW189:AX189"/>
    <mergeCell ref="AM77:AO77"/>
    <mergeCell ref="AP171:AQ171"/>
    <mergeCell ref="J89:L89"/>
    <mergeCell ref="BA19:BC19"/>
    <mergeCell ref="BD56:BE56"/>
    <mergeCell ref="AI69:AJ69"/>
    <mergeCell ref="BF120:BH120"/>
    <mergeCell ref="AK125:AL125"/>
    <mergeCell ref="BI156:BK156"/>
    <mergeCell ref="AP42:AQ42"/>
    <mergeCell ref="M39:Q39"/>
    <mergeCell ref="A87:B87"/>
    <mergeCell ref="BA48:BC48"/>
    <mergeCell ref="AK152:AL152"/>
    <mergeCell ref="AK127:AL127"/>
    <mergeCell ref="AM191:AO191"/>
    <mergeCell ref="AU149:AV149"/>
    <mergeCell ref="AG21:AH21"/>
    <mergeCell ref="AR108:AT108"/>
    <mergeCell ref="BA14:BC14"/>
    <mergeCell ref="J113:L113"/>
    <mergeCell ref="A89:B89"/>
    <mergeCell ref="AU186:AV186"/>
    <mergeCell ref="J149:L149"/>
    <mergeCell ref="BF148:BH148"/>
    <mergeCell ref="J121:L121"/>
    <mergeCell ref="AR20:AT20"/>
    <mergeCell ref="Y95:AD95"/>
    <mergeCell ref="AM95:AO95"/>
    <mergeCell ref="J115:L115"/>
    <mergeCell ref="BA45:BC45"/>
    <mergeCell ref="AM89:AO89"/>
    <mergeCell ref="BD107:BE107"/>
    <mergeCell ref="AU144:AV144"/>
    <mergeCell ref="AG16:AH16"/>
    <mergeCell ref="G106:I106"/>
    <mergeCell ref="C162:F162"/>
    <mergeCell ref="BD196:BE196"/>
    <mergeCell ref="AR22:AT22"/>
    <mergeCell ref="AM97:AO97"/>
    <mergeCell ref="G105:I105"/>
    <mergeCell ref="AI122:AJ122"/>
    <mergeCell ref="AK178:AL178"/>
    <mergeCell ref="AG18:AH18"/>
    <mergeCell ref="M57:Q57"/>
    <mergeCell ref="AI105:AJ105"/>
    <mergeCell ref="AU175:AV175"/>
    <mergeCell ref="BD198:BE198"/>
    <mergeCell ref="AW91:AX91"/>
    <mergeCell ref="M29:Q29"/>
    <mergeCell ref="M23:Q23"/>
    <mergeCell ref="AK49:AL49"/>
    <mergeCell ref="AR9:AT9"/>
    <mergeCell ref="A115:B115"/>
    <mergeCell ref="AK186:AL186"/>
    <mergeCell ref="AI107:AJ107"/>
    <mergeCell ref="AP103:AQ103"/>
    <mergeCell ref="AP97:AQ97"/>
    <mergeCell ref="BF174:BH174"/>
    <mergeCell ref="AE101:AF101"/>
    <mergeCell ref="AM121:AO121"/>
    <mergeCell ref="M58:Q58"/>
    <mergeCell ref="AG163:AH163"/>
    <mergeCell ref="BF166:BH166"/>
    <mergeCell ref="AU170:AV170"/>
    <mergeCell ref="AP96:AQ96"/>
    <mergeCell ref="Y113:AD113"/>
    <mergeCell ref="AO2:AP2"/>
    <mergeCell ref="AK171:AL171"/>
    <mergeCell ref="C91:F91"/>
    <mergeCell ref="BF45:BH45"/>
    <mergeCell ref="G189:I189"/>
    <mergeCell ref="Y26:AD26"/>
    <mergeCell ref="AM123:AO123"/>
    <mergeCell ref="G34:I34"/>
    <mergeCell ref="AY151:AZ151"/>
    <mergeCell ref="AE153:AF153"/>
    <mergeCell ref="AK181:AL181"/>
    <mergeCell ref="C57:F57"/>
    <mergeCell ref="AU172:AV172"/>
    <mergeCell ref="AY17:AZ17"/>
    <mergeCell ref="AR40:AT40"/>
    <mergeCell ref="AP98:AQ98"/>
    <mergeCell ref="AE189:AF189"/>
    <mergeCell ref="BF47:BH47"/>
    <mergeCell ref="AM116:AO116"/>
    <mergeCell ref="AK196:AL196"/>
    <mergeCell ref="AO3:AP3"/>
    <mergeCell ref="AR33:AT33"/>
    <mergeCell ref="R39:X39"/>
    <mergeCell ref="AG77:AH77"/>
    <mergeCell ref="AP113:AQ113"/>
    <mergeCell ref="C86:F86"/>
    <mergeCell ref="AI11:AJ11"/>
    <mergeCell ref="BD120:BE120"/>
    <mergeCell ref="AI133:AJ133"/>
    <mergeCell ref="Y27:AD27"/>
    <mergeCell ref="BI45:BK45"/>
    <mergeCell ref="J47:L47"/>
    <mergeCell ref="AY55:AZ55"/>
    <mergeCell ref="AM118:AO118"/>
    <mergeCell ref="G29:I29"/>
    <mergeCell ref="C58:F58"/>
    <mergeCell ref="AK198:AL198"/>
    <mergeCell ref="AR35:AT35"/>
    <mergeCell ref="BF192:BH192"/>
    <mergeCell ref="AI135:AJ135"/>
    <mergeCell ref="AE29:AF29"/>
    <mergeCell ref="AK191:AL191"/>
    <mergeCell ref="J76:L76"/>
    <mergeCell ref="G31:I31"/>
    <mergeCell ref="BI46:BK46"/>
    <mergeCell ref="M42:Q42"/>
    <mergeCell ref="AP27:AQ27"/>
    <mergeCell ref="AU101:AV101"/>
    <mergeCell ref="BF194:BH194"/>
    <mergeCell ref="AK199:AL199"/>
    <mergeCell ref="AY79:AZ79"/>
    <mergeCell ref="AG87:AH87"/>
    <mergeCell ref="BF187:BH187"/>
    <mergeCell ref="R65:X65"/>
    <mergeCell ref="AM134:AO134"/>
    <mergeCell ref="AR93:AT93"/>
    <mergeCell ref="R21:X21"/>
    <mergeCell ref="AE24:AF24"/>
    <mergeCell ref="G176:I176"/>
    <mergeCell ref="Y9:AD9"/>
    <mergeCell ref="AG89:AH89"/>
    <mergeCell ref="Y167:AD167"/>
    <mergeCell ref="BF189:BH189"/>
    <mergeCell ref="AW158:AX158"/>
    <mergeCell ref="AE26:AF26"/>
    <mergeCell ref="R50:X50"/>
    <mergeCell ref="C70:F70"/>
    <mergeCell ref="AY74:AZ74"/>
    <mergeCell ref="AG82:AH82"/>
    <mergeCell ref="AG88:AH88"/>
    <mergeCell ref="Y11:AD11"/>
    <mergeCell ref="C106:F106"/>
    <mergeCell ref="G57:I57"/>
    <mergeCell ref="Y169:AD169"/>
    <mergeCell ref="AW160:AX160"/>
    <mergeCell ref="BD181:BE181"/>
    <mergeCell ref="G49:I49"/>
    <mergeCell ref="G171:I171"/>
    <mergeCell ref="AY76:AZ76"/>
    <mergeCell ref="AG90:AH90"/>
    <mergeCell ref="M129:Q129"/>
    <mergeCell ref="AI146:AJ146"/>
    <mergeCell ref="AP167:AQ167"/>
    <mergeCell ref="Y40:AD40"/>
    <mergeCell ref="AM162:AO162"/>
    <mergeCell ref="AI65:AJ65"/>
    <mergeCell ref="BF116:BH116"/>
    <mergeCell ref="AK121:AL121"/>
    <mergeCell ref="M70:Q70"/>
    <mergeCell ref="AP55:AQ55"/>
    <mergeCell ref="A187:B187"/>
    <mergeCell ref="AP38:AQ38"/>
    <mergeCell ref="C101:F101"/>
    <mergeCell ref="AW34:AX34"/>
    <mergeCell ref="AP169:AQ169"/>
    <mergeCell ref="AY63:AZ63"/>
    <mergeCell ref="M10:Q10"/>
    <mergeCell ref="AE42:AF42"/>
    <mergeCell ref="Y96:AD96"/>
    <mergeCell ref="J114:L114"/>
    <mergeCell ref="AG115:AH115"/>
    <mergeCell ref="BF118:BH118"/>
    <mergeCell ref="AK123:AL123"/>
    <mergeCell ref="AM187:AO187"/>
    <mergeCell ref="A189:B189"/>
    <mergeCell ref="AP40:AQ40"/>
    <mergeCell ref="BF117:BH117"/>
    <mergeCell ref="AW30:AX30"/>
    <mergeCell ref="AE44:AF44"/>
    <mergeCell ref="AY92:AZ92"/>
    <mergeCell ref="J145:L145"/>
    <mergeCell ref="AM189:AO189"/>
    <mergeCell ref="G75:I75"/>
    <mergeCell ref="R84:X84"/>
    <mergeCell ref="AG141:AH141"/>
    <mergeCell ref="R78:X78"/>
    <mergeCell ref="AW29:AX29"/>
    <mergeCell ref="AR106:AT106"/>
    <mergeCell ref="Y91:AD91"/>
    <mergeCell ref="J111:L111"/>
    <mergeCell ref="AM188:AO188"/>
    <mergeCell ref="AY94:AZ94"/>
    <mergeCell ref="AG12:AH12"/>
    <mergeCell ref="AR105:AT105"/>
    <mergeCell ref="R80:X80"/>
    <mergeCell ref="A29:B29"/>
    <mergeCell ref="AW31:AX31"/>
    <mergeCell ref="BI117:BK117"/>
    <mergeCell ref="BD192:BE192"/>
    <mergeCell ref="AY87:AZ87"/>
    <mergeCell ref="Y93:AD93"/>
    <mergeCell ref="AP195:AQ195"/>
    <mergeCell ref="AM190:AO190"/>
    <mergeCell ref="J140:L140"/>
    <mergeCell ref="AY6:AZ6"/>
    <mergeCell ref="AU112:AV112"/>
    <mergeCell ref="AG14:AH14"/>
    <mergeCell ref="AR107:AT107"/>
    <mergeCell ref="M150:Q150"/>
    <mergeCell ref="BD194:BE194"/>
    <mergeCell ref="A31:B31"/>
    <mergeCell ref="AP66:AQ66"/>
    <mergeCell ref="A58:B58"/>
    <mergeCell ref="AY89:AZ89"/>
    <mergeCell ref="BA36:BC36"/>
    <mergeCell ref="AP197:AQ197"/>
    <mergeCell ref="AE70:AF70"/>
    <mergeCell ref="G103:I103"/>
    <mergeCell ref="BA72:BC72"/>
    <mergeCell ref="AI78:AJ78"/>
    <mergeCell ref="M152:Q152"/>
    <mergeCell ref="AK134:AL134"/>
    <mergeCell ref="AP68:AQ68"/>
    <mergeCell ref="AE97:AF97"/>
    <mergeCell ref="AG159:AH159"/>
    <mergeCell ref="AU166:AV166"/>
    <mergeCell ref="AP67:AQ67"/>
    <mergeCell ref="Y109:AD109"/>
    <mergeCell ref="AE96:AF96"/>
    <mergeCell ref="Y119:AD119"/>
    <mergeCell ref="BF130:BH130"/>
    <mergeCell ref="AW49:AX49"/>
    <mergeCell ref="R8:X8"/>
    <mergeCell ref="AU168:AV168"/>
    <mergeCell ref="Y111:AD111"/>
    <mergeCell ref="J158:L158"/>
    <mergeCell ref="AE98:AF98"/>
    <mergeCell ref="AY24:AZ24"/>
    <mergeCell ref="AG154:AH154"/>
    <mergeCell ref="G129:I129"/>
    <mergeCell ref="AR29:AT29"/>
    <mergeCell ref="Y104:AD104"/>
    <mergeCell ref="R10:X10"/>
    <mergeCell ref="J130:L130"/>
    <mergeCell ref="C172:F172"/>
    <mergeCell ref="BA54:BC54"/>
    <mergeCell ref="M81:Q81"/>
    <mergeCell ref="AU197:AV197"/>
    <mergeCell ref="J160:L160"/>
    <mergeCell ref="BI16:BK16"/>
    <mergeCell ref="AY148:AZ148"/>
    <mergeCell ref="AM114:AO114"/>
    <mergeCell ref="AG156:AH156"/>
    <mergeCell ref="C171:F171"/>
    <mergeCell ref="A42:B42"/>
    <mergeCell ref="G131:I131"/>
    <mergeCell ref="AR31:AT31"/>
    <mergeCell ref="J159:L159"/>
    <mergeCell ref="J153:L153"/>
    <mergeCell ref="BI9:BK9"/>
    <mergeCell ref="BA56:BC56"/>
    <mergeCell ref="AY19:AZ19"/>
    <mergeCell ref="BA83:BC83"/>
    <mergeCell ref="AI106:AJ106"/>
    <mergeCell ref="J72:L72"/>
    <mergeCell ref="M163:Q163"/>
    <mergeCell ref="C173:F173"/>
    <mergeCell ref="AW100:AX100"/>
    <mergeCell ref="M76:Q76"/>
    <mergeCell ref="AR62:AT62"/>
    <mergeCell ref="BI11:BK11"/>
    <mergeCell ref="AK195:AL195"/>
    <mergeCell ref="BA85:BC85"/>
    <mergeCell ref="J184:L184"/>
    <mergeCell ref="M165:Q165"/>
    <mergeCell ref="AP112:AQ112"/>
    <mergeCell ref="AR176:AT176"/>
    <mergeCell ref="BF183:BH183"/>
    <mergeCell ref="AW102:AX102"/>
    <mergeCell ref="AP122:AQ122"/>
    <mergeCell ref="AR186:AT186"/>
    <mergeCell ref="BG3:BH3"/>
    <mergeCell ref="AU39:AV39"/>
    <mergeCell ref="R150:X150"/>
    <mergeCell ref="AG182:AH182"/>
    <mergeCell ref="AW95:AX95"/>
    <mergeCell ref="Y138:AD138"/>
    <mergeCell ref="BF185:BH185"/>
    <mergeCell ref="AR57:AT57"/>
    <mergeCell ref="Y132:AD132"/>
    <mergeCell ref="AY160:AZ160"/>
    <mergeCell ref="AE22:AF22"/>
    <mergeCell ref="AG84:AH84"/>
    <mergeCell ref="R152:X152"/>
    <mergeCell ref="AW103:AX103"/>
    <mergeCell ref="C199:F199"/>
    <mergeCell ref="AW97:AX97"/>
    <mergeCell ref="AY159:AZ159"/>
    <mergeCell ref="BI158:BK158"/>
    <mergeCell ref="G142:I142"/>
    <mergeCell ref="AY72:AZ72"/>
    <mergeCell ref="R23:X23"/>
    <mergeCell ref="AY47:AZ47"/>
    <mergeCell ref="AG86:AH86"/>
    <mergeCell ref="M94:Q94"/>
    <mergeCell ref="Y36:AD36"/>
    <mergeCell ref="G55:I55"/>
    <mergeCell ref="AP138:AQ138"/>
    <mergeCell ref="AY161:AZ161"/>
    <mergeCell ref="AW128:AX128"/>
    <mergeCell ref="G144:I144"/>
    <mergeCell ref="AI144:AJ144"/>
    <mergeCell ref="AP140:AQ140"/>
    <mergeCell ref="BI72:BK72"/>
    <mergeCell ref="M95:Q95"/>
    <mergeCell ref="AE48:AF48"/>
    <mergeCell ref="M89:Q89"/>
    <mergeCell ref="AP11:AQ11"/>
    <mergeCell ref="AR75:AT75"/>
    <mergeCell ref="AP133:AQ133"/>
    <mergeCell ref="G71:I71"/>
    <mergeCell ref="M97:Q97"/>
    <mergeCell ref="R74:X74"/>
    <mergeCell ref="AP135:AQ135"/>
    <mergeCell ref="Y62:AD62"/>
    <mergeCell ref="R163:X163"/>
    <mergeCell ref="Y193:AD193"/>
    <mergeCell ref="Y176:AD176"/>
    <mergeCell ref="BF198:BH198"/>
    <mergeCell ref="AR70:AT70"/>
    <mergeCell ref="R76:X76"/>
    <mergeCell ref="AW27:AX27"/>
    <mergeCell ref="AG114:AH114"/>
    <mergeCell ref="C123:F123"/>
    <mergeCell ref="AI170:AJ170"/>
    <mergeCell ref="Y64:AD64"/>
    <mergeCell ref="BI82:BK82"/>
    <mergeCell ref="AM186:AO186"/>
    <mergeCell ref="R165:X165"/>
    <mergeCell ref="AE51:AF51"/>
    <mergeCell ref="G66:I66"/>
    <mergeCell ref="AR103:AT103"/>
    <mergeCell ref="AY91:AZ91"/>
    <mergeCell ref="AG143:AH143"/>
    <mergeCell ref="BA155:BC155"/>
    <mergeCell ref="AY85:AZ85"/>
    <mergeCell ref="AG99:AH99"/>
    <mergeCell ref="M113:Q113"/>
    <mergeCell ref="AE66:AF66"/>
    <mergeCell ref="AI172:AJ172"/>
    <mergeCell ref="G74:I74"/>
    <mergeCell ref="G68:I68"/>
    <mergeCell ref="R77:X77"/>
    <mergeCell ref="AU110:AV110"/>
    <mergeCell ref="M148:Q148"/>
    <mergeCell ref="BI83:BK83"/>
    <mergeCell ref="BA157:BC157"/>
    <mergeCell ref="R92:X92"/>
    <mergeCell ref="AY116:AZ116"/>
    <mergeCell ref="AP153:AQ153"/>
    <mergeCell ref="BI85:BK85"/>
    <mergeCell ref="AW53:AX53"/>
    <mergeCell ref="AE67:AF67"/>
    <mergeCell ref="M108:Q108"/>
    <mergeCell ref="AW9:AX9"/>
    <mergeCell ref="AE61:AF61"/>
    <mergeCell ref="R94:X94"/>
    <mergeCell ref="AW45:AX45"/>
    <mergeCell ref="AW167:AX167"/>
    <mergeCell ref="AP65:AQ65"/>
    <mergeCell ref="AR129:AT129"/>
    <mergeCell ref="BA152:BC152"/>
    <mergeCell ref="AW55:AX55"/>
    <mergeCell ref="C113:F113"/>
    <mergeCell ref="R87:X87"/>
    <mergeCell ref="AY111:AZ111"/>
    <mergeCell ref="AG125:AH125"/>
    <mergeCell ref="BD34:BE34"/>
    <mergeCell ref="Y75:AD75"/>
    <mergeCell ref="AR131:AT131"/>
    <mergeCell ref="AY119:AZ119"/>
    <mergeCell ref="R89:X89"/>
    <mergeCell ref="A38:B38"/>
    <mergeCell ref="AW40:AX40"/>
    <mergeCell ref="AG127:AH127"/>
    <mergeCell ref="AU7:AV7"/>
    <mergeCell ref="BD36:BE36"/>
    <mergeCell ref="C142:F142"/>
    <mergeCell ref="BD30:BE30"/>
    <mergeCell ref="M166:Q166"/>
    <mergeCell ref="AM199:AO199"/>
    <mergeCell ref="BA79:BC79"/>
    <mergeCell ref="BI14:BK14"/>
    <mergeCell ref="BI136:BK136"/>
    <mergeCell ref="M159:Q159"/>
    <mergeCell ref="A40:B40"/>
    <mergeCell ref="AP75:AQ75"/>
    <mergeCell ref="A67:B67"/>
    <mergeCell ref="AW71:AX71"/>
    <mergeCell ref="J157:L157"/>
    <mergeCell ref="BI13:BK13"/>
    <mergeCell ref="BI7:BK7"/>
    <mergeCell ref="BA81:BC81"/>
    <mergeCell ref="M167:Q167"/>
    <mergeCell ref="AK160:AL160"/>
    <mergeCell ref="AU8:AV8"/>
    <mergeCell ref="M161:Q161"/>
    <mergeCell ref="AI59:AJ59"/>
    <mergeCell ref="AU10:AV10"/>
    <mergeCell ref="AG178:AH178"/>
    <mergeCell ref="R115:X115"/>
    <mergeCell ref="AW66:AX66"/>
    <mergeCell ref="AR53:AT53"/>
    <mergeCell ref="AG49:AH49"/>
    <mergeCell ref="AR142:AT142"/>
    <mergeCell ref="R148:X148"/>
    <mergeCell ref="C195:F195"/>
    <mergeCell ref="AW93:AX93"/>
    <mergeCell ref="A66:B66"/>
    <mergeCell ref="AW68:AX68"/>
    <mergeCell ref="AY130:AZ130"/>
    <mergeCell ref="Y136:AD136"/>
    <mergeCell ref="AR55:AT55"/>
    <mergeCell ref="BI154:BK154"/>
    <mergeCell ref="AY155:AZ155"/>
    <mergeCell ref="G138:I138"/>
    <mergeCell ref="J177:L177"/>
    <mergeCell ref="AR144:AT144"/>
    <mergeCell ref="AI113:AJ113"/>
    <mergeCell ref="M187:Q187"/>
    <mergeCell ref="BI25:BK25"/>
    <mergeCell ref="C197:F197"/>
    <mergeCell ref="AY157:AZ157"/>
    <mergeCell ref="AK29:AL29"/>
    <mergeCell ref="A95:B95"/>
    <mergeCell ref="J185:L185"/>
    <mergeCell ref="K2:O2"/>
    <mergeCell ref="G140:I140"/>
    <mergeCell ref="AU151:AV151"/>
    <mergeCell ref="M195:Q195"/>
    <mergeCell ref="AI115:AJ115"/>
    <mergeCell ref="BI155:BK155"/>
    <mergeCell ref="M189:Q189"/>
    <mergeCell ref="BF26:BH26"/>
    <mergeCell ref="Y131:AD131"/>
    <mergeCell ref="BI149:BK149"/>
    <mergeCell ref="A122:B122"/>
    <mergeCell ref="AK31:AL31"/>
    <mergeCell ref="A97:B97"/>
    <mergeCell ref="G11:I11"/>
    <mergeCell ref="AE167:AF167"/>
    <mergeCell ref="AG196:AH196"/>
    <mergeCell ref="G169:I169"/>
    <mergeCell ref="BA100:BC100"/>
    <mergeCell ref="AP104:AQ104"/>
    <mergeCell ref="Y146:AD146"/>
    <mergeCell ref="BA94:BC94"/>
    <mergeCell ref="BI151:BK151"/>
    <mergeCell ref="AE133:AF133"/>
    <mergeCell ref="AU46:AV46"/>
    <mergeCell ref="AU21:AV21"/>
    <mergeCell ref="BI180:BK180"/>
    <mergeCell ref="BA66:BC66"/>
    <mergeCell ref="BF27:BH27"/>
    <mergeCell ref="AP131:AQ131"/>
    <mergeCell ref="AK32:AL32"/>
    <mergeCell ref="AG5:AT5"/>
    <mergeCell ref="AY61:AZ61"/>
    <mergeCell ref="AU23:AV23"/>
    <mergeCell ref="R134:X134"/>
    <mergeCell ref="R159:X159"/>
    <mergeCell ref="C39:F39"/>
    <mergeCell ref="AE162:AF162"/>
    <mergeCell ref="AG51:AH51"/>
    <mergeCell ref="BD100:BE100"/>
    <mergeCell ref="AY183:AZ183"/>
    <mergeCell ref="AR66:AT66"/>
    <mergeCell ref="BA95:BC95"/>
    <mergeCell ref="J27:L27"/>
    <mergeCell ref="AG191:AH191"/>
    <mergeCell ref="AR197:AT197"/>
    <mergeCell ref="C32:F32"/>
    <mergeCell ref="R161:X161"/>
    <mergeCell ref="AE164:AF164"/>
    <mergeCell ref="AY185:AZ185"/>
    <mergeCell ref="AU79:AV79"/>
    <mergeCell ref="BD102:BE102"/>
    <mergeCell ref="Y149:AD149"/>
    <mergeCell ref="AR68:AT68"/>
    <mergeCell ref="G195:I195"/>
    <mergeCell ref="J196:L196"/>
    <mergeCell ref="AY56:AZ56"/>
    <mergeCell ref="BA120:BC120"/>
    <mergeCell ref="AW137:AX137"/>
    <mergeCell ref="BI79:BK79"/>
    <mergeCell ref="BA128:BC128"/>
    <mergeCell ref="BF9:BH9"/>
    <mergeCell ref="A27:B27"/>
    <mergeCell ref="G153:I153"/>
    <mergeCell ref="AI197:AJ197"/>
    <mergeCell ref="AP193:AQ193"/>
    <mergeCell ref="R63:X63"/>
    <mergeCell ref="AU74:AV74"/>
    <mergeCell ref="AI169:AJ169"/>
    <mergeCell ref="AW139:AX139"/>
    <mergeCell ref="BA121:BC121"/>
    <mergeCell ref="BI81:BK81"/>
    <mergeCell ref="BF11:BH11"/>
    <mergeCell ref="AM27:AO27"/>
    <mergeCell ref="AK16:AL16"/>
    <mergeCell ref="AU76:AV76"/>
    <mergeCell ref="AW138:AX138"/>
    <mergeCell ref="R187:X187"/>
    <mergeCell ref="AE146:AF146"/>
    <mergeCell ref="Y200:AD200"/>
    <mergeCell ref="BA148:BC148"/>
    <mergeCell ref="C50:F50"/>
    <mergeCell ref="A22:B22"/>
    <mergeCell ref="AE65:AF65"/>
    <mergeCell ref="J38:L38"/>
    <mergeCell ref="R189:X189"/>
    <mergeCell ref="AW140:AX140"/>
    <mergeCell ref="AY196:AZ196"/>
    <mergeCell ref="Y177:AD177"/>
    <mergeCell ref="AM22:AO22"/>
    <mergeCell ref="G179:I179"/>
    <mergeCell ref="J40:L40"/>
    <mergeCell ref="A9:B9"/>
    <mergeCell ref="BD32:BE32"/>
    <mergeCell ref="BF96:BH96"/>
    <mergeCell ref="BD26:BE26"/>
    <mergeCell ref="AI39:AJ39"/>
    <mergeCell ref="A167:B167"/>
    <mergeCell ref="AP175:AQ175"/>
    <mergeCell ref="AY198:AZ198"/>
    <mergeCell ref="AU92:AV92"/>
    <mergeCell ref="BI107:BK107"/>
    <mergeCell ref="BA181:BC181"/>
    <mergeCell ref="M130:Q130"/>
    <mergeCell ref="AM9:AO9"/>
    <mergeCell ref="A11:B11"/>
    <mergeCell ref="AP177:AQ177"/>
    <mergeCell ref="AK103:AL103"/>
    <mergeCell ref="A169:B169"/>
    <mergeCell ref="BA174:BC174"/>
    <mergeCell ref="AU94:AV94"/>
    <mergeCell ref="M132:Q132"/>
    <mergeCell ref="BF91:BH91"/>
    <mergeCell ref="BI92:BK92"/>
    <mergeCell ref="AM11:AO11"/>
    <mergeCell ref="AU87:AV87"/>
    <mergeCell ref="AY38:AZ38"/>
    <mergeCell ref="AU6:AV6"/>
    <mergeCell ref="J91:L91"/>
    <mergeCell ref="AW62:AX62"/>
    <mergeCell ref="BF93:BH93"/>
    <mergeCell ref="BI94:BK94"/>
    <mergeCell ref="R111:X111"/>
    <mergeCell ref="AP172:AQ172"/>
    <mergeCell ref="AW193:AX193"/>
    <mergeCell ref="AU89:AV89"/>
    <mergeCell ref="AM12:AO12"/>
    <mergeCell ref="AR113:AT113"/>
    <mergeCell ref="AR138:AT138"/>
    <mergeCell ref="A179:B179"/>
    <mergeCell ref="AW64:AX64"/>
    <mergeCell ref="AE78:AF78"/>
    <mergeCell ref="BD60:BE60"/>
    <mergeCell ref="AG134:AH134"/>
    <mergeCell ref="BD16:BE16"/>
    <mergeCell ref="AK129:AL129"/>
    <mergeCell ref="AW153:AX153"/>
    <mergeCell ref="BD174:BE174"/>
    <mergeCell ref="AU120:AV120"/>
    <mergeCell ref="AP46:AQ46"/>
    <mergeCell ref="AR140:AT140"/>
    <mergeCell ref="AM41:AO41"/>
    <mergeCell ref="BD53:BE53"/>
    <mergeCell ref="J122:L122"/>
    <mergeCell ref="A91:B91"/>
    <mergeCell ref="AY128:AZ128"/>
    <mergeCell ref="BA192:BC192"/>
    <mergeCell ref="AK131:AL131"/>
    <mergeCell ref="BD45:BE45"/>
    <mergeCell ref="AI58:AJ58"/>
    <mergeCell ref="BF109:BH109"/>
    <mergeCell ref="R114:X114"/>
    <mergeCell ref="AU147:AV147"/>
    <mergeCell ref="AP48:AQ48"/>
    <mergeCell ref="A180:B180"/>
    <mergeCell ref="M185:Q185"/>
    <mergeCell ref="BD55:BE55"/>
    <mergeCell ref="BI120:BK120"/>
    <mergeCell ref="BA194:BC194"/>
    <mergeCell ref="BF75:BH75"/>
    <mergeCell ref="AK2:AL2"/>
    <mergeCell ref="AM66:AO66"/>
    <mergeCell ref="A93:B93"/>
    <mergeCell ref="BI147:BK147"/>
    <mergeCell ref="AU17:AV17"/>
    <mergeCell ref="AM68:AO68"/>
    <mergeCell ref="C8:F8"/>
    <mergeCell ref="AU148:AV148"/>
    <mergeCell ref="M186:Q186"/>
    <mergeCell ref="BD200:BE200"/>
    <mergeCell ref="BA189:BC189"/>
    <mergeCell ref="AE106:AF106"/>
    <mergeCell ref="AU19:AV19"/>
    <mergeCell ref="R130:X130"/>
    <mergeCell ref="J104:L104"/>
    <mergeCell ref="BA34:BC34"/>
    <mergeCell ref="BD71:BE71"/>
    <mergeCell ref="AR168:AT168"/>
    <mergeCell ref="R132:X132"/>
    <mergeCell ref="C179:F179"/>
    <mergeCell ref="A75:B75"/>
    <mergeCell ref="BD73:BE73"/>
    <mergeCell ref="BF137:BH137"/>
    <mergeCell ref="BI173:BK173"/>
    <mergeCell ref="AR153:AT153"/>
    <mergeCell ref="M196:Q196"/>
    <mergeCell ref="AK55:AL55"/>
    <mergeCell ref="A104:B104"/>
    <mergeCell ref="G193:I193"/>
    <mergeCell ref="BI50:BK50"/>
    <mergeCell ref="AK169:AL169"/>
    <mergeCell ref="BA124:BC124"/>
    <mergeCell ref="BI44:BK44"/>
    <mergeCell ref="BI181:BK181"/>
    <mergeCell ref="BF41:BH41"/>
    <mergeCell ref="M198:Q198"/>
    <mergeCell ref="AR184:AT184"/>
    <mergeCell ref="AK46:AL46"/>
    <mergeCell ref="AK40:AL40"/>
    <mergeCell ref="A106:B106"/>
    <mergeCell ref="BA117:BC117"/>
    <mergeCell ref="AU37:AV37"/>
    <mergeCell ref="AU159:AV159"/>
    <mergeCell ref="BF7:BH7"/>
    <mergeCell ref="AU72:AV72"/>
    <mergeCell ref="AU47:AV47"/>
    <mergeCell ref="R183:X183"/>
    <mergeCell ref="AE186:AF186"/>
    <mergeCell ref="AM112:AO112"/>
    <mergeCell ref="BD124:BE124"/>
    <mergeCell ref="C46:F46"/>
    <mergeCell ref="C21:F21"/>
    <mergeCell ref="BA119:BC119"/>
    <mergeCell ref="AU161:AV161"/>
    <mergeCell ref="J34:L34"/>
    <mergeCell ref="J9:L9"/>
    <mergeCell ref="BF36:BH36"/>
    <mergeCell ref="AR179:AT179"/>
    <mergeCell ref="AM105:AO105"/>
    <mergeCell ref="AW136:AX136"/>
    <mergeCell ref="R185:X185"/>
    <mergeCell ref="AI8:AJ8"/>
    <mergeCell ref="AY192:AZ192"/>
    <mergeCell ref="AE171:AF171"/>
    <mergeCell ref="BD126:BE126"/>
    <mergeCell ref="A130:B130"/>
    <mergeCell ref="C48:F48"/>
    <mergeCell ref="C23:F23"/>
    <mergeCell ref="BI191:BK191"/>
    <mergeCell ref="G175:I175"/>
    <mergeCell ref="J36:L36"/>
    <mergeCell ref="AM107:AO107"/>
    <mergeCell ref="AI10:AJ10"/>
    <mergeCell ref="A138:B138"/>
    <mergeCell ref="AY194:AZ194"/>
    <mergeCell ref="A132:B132"/>
    <mergeCell ref="AU63:AV63"/>
    <mergeCell ref="AK197:AL197"/>
    <mergeCell ref="G177:I177"/>
    <mergeCell ref="BI192:BK192"/>
    <mergeCell ref="Y168:AD168"/>
    <mergeCell ref="AK74:AL74"/>
    <mergeCell ref="AM138:AO138"/>
    <mergeCell ref="AK68:AL68"/>
    <mergeCell ref="J31:L31"/>
    <mergeCell ref="Y13:AD13"/>
    <mergeCell ref="BF62:BH62"/>
    <mergeCell ref="BI63:BK63"/>
    <mergeCell ref="BA137:BC137"/>
    <mergeCell ref="AR21:AT21"/>
    <mergeCell ref="AU83:AV83"/>
    <mergeCell ref="C74:F74"/>
    <mergeCell ref="J62:L62"/>
    <mergeCell ref="BF64:BH64"/>
    <mergeCell ref="AP168:AQ168"/>
    <mergeCell ref="AK69:AL69"/>
    <mergeCell ref="AU85:AV85"/>
    <mergeCell ref="R196:X196"/>
    <mergeCell ref="AE199:AF199"/>
    <mergeCell ref="Y8:AD8"/>
    <mergeCell ref="C103:F103"/>
    <mergeCell ref="BD137:BE137"/>
    <mergeCell ref="AI150:AJ150"/>
    <mergeCell ref="Y184:AD184"/>
    <mergeCell ref="J64:L64"/>
    <mergeCell ref="R198:X198"/>
    <mergeCell ref="AW149:AX149"/>
    <mergeCell ref="AI21:AJ21"/>
    <mergeCell ref="AU116:AV116"/>
    <mergeCell ref="AR111:AT111"/>
    <mergeCell ref="BD139:BE139"/>
    <mergeCell ref="AI152:AJ152"/>
    <mergeCell ref="J93:L93"/>
    <mergeCell ref="G48:I48"/>
    <mergeCell ref="R51:X51"/>
    <mergeCell ref="BD138:BE138"/>
    <mergeCell ref="AI23:AJ23"/>
    <mergeCell ref="A176:B176"/>
    <mergeCell ref="BD51:BE51"/>
    <mergeCell ref="BI116:BK116"/>
    <mergeCell ref="A64:B64"/>
    <mergeCell ref="A186:B186"/>
    <mergeCell ref="AU117:AV117"/>
    <mergeCell ref="BF82:BH82"/>
    <mergeCell ref="AU111:AV111"/>
    <mergeCell ref="A178:B178"/>
    <mergeCell ref="AK87:AL87"/>
    <mergeCell ref="AE41:AF41"/>
    <mergeCell ref="BI118:BK118"/>
    <mergeCell ref="AM64:AO64"/>
    <mergeCell ref="AK122:AL122"/>
    <mergeCell ref="AP39:AQ39"/>
    <mergeCell ref="AW175:AX175"/>
    <mergeCell ref="AM153:AO153"/>
    <mergeCell ref="AE43:AF43"/>
    <mergeCell ref="AM30:AO30"/>
    <mergeCell ref="C87:F87"/>
    <mergeCell ref="AG105:AH105"/>
    <mergeCell ref="BA160:BC160"/>
    <mergeCell ref="Y28:AD28"/>
    <mergeCell ref="J75:L75"/>
    <mergeCell ref="BD67:BE67"/>
    <mergeCell ref="AW177:AX177"/>
    <mergeCell ref="AM65:AO65"/>
    <mergeCell ref="AG107:AH107"/>
    <mergeCell ref="C89:F89"/>
    <mergeCell ref="AM21:AO21"/>
    <mergeCell ref="C116:F116"/>
    <mergeCell ref="AI163:AJ163"/>
    <mergeCell ref="AE131:AF131"/>
    <mergeCell ref="Y57:AD57"/>
    <mergeCell ref="BA32:BC32"/>
    <mergeCell ref="BD69:BE69"/>
    <mergeCell ref="AQ2:AR2"/>
    <mergeCell ref="BF133:BH133"/>
    <mergeCell ref="AI76:AJ76"/>
    <mergeCell ref="C88:F88"/>
    <mergeCell ref="AK138:AL138"/>
    <mergeCell ref="M27:Q27"/>
    <mergeCell ref="AG189:AH189"/>
    <mergeCell ref="BF135:BH135"/>
    <mergeCell ref="BD193:BE193"/>
    <mergeCell ref="AK140:AL140"/>
    <mergeCell ref="AI77:AJ77"/>
    <mergeCell ref="BF128:BH128"/>
    <mergeCell ref="AU130:AV130"/>
    <mergeCell ref="BF136:BH136"/>
    <mergeCell ref="AW99:AX99"/>
    <mergeCell ref="C17:F17"/>
    <mergeCell ref="AG29:AH29"/>
    <mergeCell ref="AM49:AO49"/>
    <mergeCell ref="A103:B103"/>
    <mergeCell ref="Y110:AD110"/>
    <mergeCell ref="AW101:AX101"/>
    <mergeCell ref="AE115:AF115"/>
    <mergeCell ref="M9:Q9"/>
    <mergeCell ref="C19:F19"/>
    <mergeCell ref="AG31:AH31"/>
    <mergeCell ref="AM1:AX1"/>
    <mergeCell ref="J7:L7"/>
    <mergeCell ref="AP83:AQ83"/>
    <mergeCell ref="AM103:AO103"/>
    <mergeCell ref="AM78:AO78"/>
    <mergeCell ref="AY165:AZ165"/>
    <mergeCell ref="A128:B128"/>
    <mergeCell ref="M11:Q11"/>
    <mergeCell ref="BD82:BE82"/>
    <mergeCell ref="AI95:AJ95"/>
    <mergeCell ref="BF146:BH146"/>
    <mergeCell ref="AI89:AJ89"/>
    <mergeCell ref="AP85:AQ85"/>
    <mergeCell ref="A136:B136"/>
    <mergeCell ref="AG32:AH32"/>
    <mergeCell ref="C14:F14"/>
    <mergeCell ref="M40:Q40"/>
    <mergeCell ref="AU183:AV183"/>
    <mergeCell ref="AI97:AJ97"/>
    <mergeCell ref="BF58:BH58"/>
    <mergeCell ref="AK153:AL153"/>
    <mergeCell ref="A129:B129"/>
    <mergeCell ref="BI190:BK190"/>
    <mergeCell ref="BA46:BC46"/>
    <mergeCell ref="AU54:AV54"/>
    <mergeCell ref="A127:B127"/>
    <mergeCell ref="AU185:AV185"/>
    <mergeCell ref="AG57:AH57"/>
    <mergeCell ref="BF60:BH60"/>
    <mergeCell ref="AK65:AL65"/>
    <mergeCell ref="AM129:AO129"/>
    <mergeCell ref="A131:B131"/>
    <mergeCell ref="AU56:AV56"/>
    <mergeCell ref="AR46:AT46"/>
    <mergeCell ref="R27:X27"/>
    <mergeCell ref="AY7:AZ7"/>
    <mergeCell ref="BD108:BE108"/>
    <mergeCell ref="AY34:AZ34"/>
    <mergeCell ref="AI121:AJ121"/>
    <mergeCell ref="Y15:AD15"/>
    <mergeCell ref="AG42:AH42"/>
    <mergeCell ref="J60:L60"/>
    <mergeCell ref="AM131:AO131"/>
    <mergeCell ref="C188:F188"/>
    <mergeCell ref="G17:I17"/>
    <mergeCell ref="AR48:AT48"/>
    <mergeCell ref="AE172:AF172"/>
    <mergeCell ref="J176:L176"/>
    <mergeCell ref="AP13:AQ13"/>
    <mergeCell ref="J53:L53"/>
    <mergeCell ref="C76:F76"/>
    <mergeCell ref="AY36:AZ36"/>
    <mergeCell ref="AI148:AJ148"/>
    <mergeCell ref="J170:L170"/>
    <mergeCell ref="AK179:AL179"/>
    <mergeCell ref="G19:I19"/>
    <mergeCell ref="J178:L178"/>
    <mergeCell ref="J55:L55"/>
    <mergeCell ref="BA102:BC102"/>
    <mergeCell ref="BF42:BH42"/>
    <mergeCell ref="BD136:BE136"/>
    <mergeCell ref="BF200:BH200"/>
    <mergeCell ref="AP8:AQ8"/>
    <mergeCell ref="AK83:AL83"/>
    <mergeCell ref="R9:X9"/>
    <mergeCell ref="AU196:AV196"/>
    <mergeCell ref="BF44:BH44"/>
    <mergeCell ref="BF71:BH71"/>
    <mergeCell ref="AP10:AQ10"/>
    <mergeCell ref="AR74:AT74"/>
    <mergeCell ref="AM149:AO149"/>
    <mergeCell ref="R11:X11"/>
    <mergeCell ref="AE39:AF39"/>
    <mergeCell ref="R38:X38"/>
    <mergeCell ref="A55:B55"/>
    <mergeCell ref="AU198:AV198"/>
    <mergeCell ref="J71:L71"/>
    <mergeCell ref="BF73:BH73"/>
    <mergeCell ref="AM142:AO142"/>
    <mergeCell ref="AW173:AX173"/>
    <mergeCell ref="AR38:AT38"/>
    <mergeCell ref="AG103:AH103"/>
    <mergeCell ref="R40:X40"/>
    <mergeCell ref="C112:F112"/>
    <mergeCell ref="AI159:AJ159"/>
    <mergeCell ref="Y53:AD53"/>
    <mergeCell ref="G72:I72"/>
    <mergeCell ref="J73:L73"/>
    <mergeCell ref="AM144:AO144"/>
    <mergeCell ref="C84:F84"/>
    <mergeCell ref="AI47:AJ47"/>
    <mergeCell ref="A200:B200"/>
    <mergeCell ref="BD154:BE154"/>
    <mergeCell ref="AI167:AJ167"/>
    <mergeCell ref="C114:F114"/>
    <mergeCell ref="AI161:AJ161"/>
    <mergeCell ref="Y55:AD55"/>
    <mergeCell ref="AW16:AX16"/>
    <mergeCell ref="J102:L102"/>
    <mergeCell ref="BD164:BE164"/>
    <mergeCell ref="AG98:AH98"/>
    <mergeCell ref="M112:Q112"/>
    <mergeCell ref="AP28:AQ28"/>
    <mergeCell ref="J68:L68"/>
    <mergeCell ref="AI162:AJ162"/>
    <mergeCell ref="M114:Q114"/>
    <mergeCell ref="AP21:AQ21"/>
    <mergeCell ref="AG129:AH129"/>
    <mergeCell ref="Y79:AD79"/>
    <mergeCell ref="BF101:BH101"/>
    <mergeCell ref="BA27:BC27"/>
    <mergeCell ref="BF126:BH126"/>
    <mergeCell ref="A197:B197"/>
    <mergeCell ref="AK106:AL106"/>
    <mergeCell ref="AU128:AV128"/>
    <mergeCell ref="AW184:AX184"/>
    <mergeCell ref="AP23:AQ23"/>
    <mergeCell ref="R93:X93"/>
    <mergeCell ref="AE58:AF58"/>
    <mergeCell ref="AG131:AH131"/>
    <mergeCell ref="C140:F140"/>
    <mergeCell ref="BD180:BE180"/>
    <mergeCell ref="AI187:AJ187"/>
    <mergeCell ref="AR6:AT6"/>
    <mergeCell ref="Y81:AD81"/>
    <mergeCell ref="Y37:AD37"/>
    <mergeCell ref="J128:L128"/>
    <mergeCell ref="AG2:AH2"/>
    <mergeCell ref="BD182:BE182"/>
    <mergeCell ref="C104:F104"/>
    <mergeCell ref="AM74:AO74"/>
    <mergeCell ref="AY102:AZ102"/>
    <mergeCell ref="AI189:AJ189"/>
    <mergeCell ref="M13:Q13"/>
    <mergeCell ref="G91:I91"/>
    <mergeCell ref="M7:Q7"/>
    <mergeCell ref="G85:I85"/>
    <mergeCell ref="BA16:BC16"/>
    <mergeCell ref="BD175:BE175"/>
    <mergeCell ref="AP81:AQ81"/>
    <mergeCell ref="AM76:AO76"/>
    <mergeCell ref="BI153:BK153"/>
    <mergeCell ref="BA9:BC9"/>
    <mergeCell ref="M36:Q36"/>
    <mergeCell ref="AP170:AQ170"/>
    <mergeCell ref="BD177:BE177"/>
    <mergeCell ref="AY103:AZ103"/>
    <mergeCell ref="C99:F99"/>
    <mergeCell ref="AE84:AF84"/>
    <mergeCell ref="M8:Q8"/>
    <mergeCell ref="Y63:AD63"/>
    <mergeCell ref="BA11:BC11"/>
    <mergeCell ref="AP76:AQ76"/>
    <mergeCell ref="AE86:AF86"/>
    <mergeCell ref="C130:F130"/>
    <mergeCell ref="AE80:AF80"/>
    <mergeCell ref="AG142:AH142"/>
    <mergeCell ref="BF145:BH145"/>
    <mergeCell ref="Y92:AD92"/>
    <mergeCell ref="BF139:BH139"/>
    <mergeCell ref="AG55:AH55"/>
    <mergeCell ref="AR148:AT148"/>
    <mergeCell ref="R112:X112"/>
    <mergeCell ref="G13:I13"/>
    <mergeCell ref="R106:X106"/>
    <mergeCell ref="AG144:AH144"/>
    <mergeCell ref="C153:F153"/>
    <mergeCell ref="C159:F159"/>
    <mergeCell ref="AR19:AT19"/>
    <mergeCell ref="Y94:AD94"/>
    <mergeCell ref="C72:F72"/>
    <mergeCell ref="BD106:BE106"/>
    <mergeCell ref="AY32:AZ32"/>
    <mergeCell ref="AI119:AJ119"/>
    <mergeCell ref="C125:F125"/>
    <mergeCell ref="BF170:BH170"/>
    <mergeCell ref="AK175:AL175"/>
    <mergeCell ref="C186:F186"/>
    <mergeCell ref="G15:I15"/>
    <mergeCell ref="C161:F161"/>
    <mergeCell ref="AP92:AQ92"/>
    <mergeCell ref="AM87:AO87"/>
    <mergeCell ref="J174:L174"/>
    <mergeCell ref="M64:Q64"/>
    <mergeCell ref="J168:L168"/>
    <mergeCell ref="BI24:BK24"/>
    <mergeCell ref="G104:I104"/>
    <mergeCell ref="BA98:BC98"/>
    <mergeCell ref="BF172:BH172"/>
    <mergeCell ref="AK177:AL177"/>
    <mergeCell ref="M178:Q178"/>
    <mergeCell ref="AP94:AQ94"/>
    <mergeCell ref="BI32:BK32"/>
    <mergeCell ref="AI114:AJ114"/>
    <mergeCell ref="AK176:AL176"/>
    <mergeCell ref="BI26:BK26"/>
    <mergeCell ref="AE8:AF8"/>
    <mergeCell ref="J169:L169"/>
    <mergeCell ref="M21:Q21"/>
    <mergeCell ref="AP6:AQ6"/>
    <mergeCell ref="BF173:BH173"/>
    <mergeCell ref="BA93:BC93"/>
    <mergeCell ref="AE10:AF10"/>
    <mergeCell ref="R34:X34"/>
    <mergeCell ref="C54:F54"/>
    <mergeCell ref="AG66:AH66"/>
    <mergeCell ref="AP95:AQ95"/>
    <mergeCell ref="AR159:AT159"/>
    <mergeCell ref="AP89:AQ89"/>
    <mergeCell ref="A140:B140"/>
    <mergeCell ref="AM113:AO113"/>
    <mergeCell ref="AR72:AT72"/>
    <mergeCell ref="Y147:AD147"/>
    <mergeCell ref="J200:L200"/>
    <mergeCell ref="G155:I155"/>
    <mergeCell ref="BF158:BH158"/>
    <mergeCell ref="R36:X36"/>
    <mergeCell ref="C56:F56"/>
    <mergeCell ref="AY60:AZ60"/>
    <mergeCell ref="AG68:AH68"/>
    <mergeCell ref="AG74:AH74"/>
    <mergeCell ref="AI130:AJ130"/>
    <mergeCell ref="AR161:AT161"/>
    <mergeCell ref="Y24:AD24"/>
    <mergeCell ref="BI42:BK42"/>
    <mergeCell ref="AY174:AZ174"/>
    <mergeCell ref="AP120:AQ120"/>
    <mergeCell ref="AM115:AO115"/>
    <mergeCell ref="AG67:AH67"/>
    <mergeCell ref="G157:I157"/>
    <mergeCell ref="BF13:BH13"/>
    <mergeCell ref="BA82:BC82"/>
    <mergeCell ref="AI132:AJ132"/>
    <mergeCell ref="AY45:AZ45"/>
    <mergeCell ref="Y148:AD148"/>
    <mergeCell ref="AK48:AL48"/>
    <mergeCell ref="G28:I28"/>
    <mergeCell ref="AG69:AH69"/>
    <mergeCell ref="M83:Q83"/>
    <mergeCell ref="G186:I186"/>
    <mergeCell ref="Y19:AD19"/>
    <mergeCell ref="G30:I30"/>
    <mergeCell ref="G152:I152"/>
    <mergeCell ref="M110:Q110"/>
    <mergeCell ref="BF184:BH184"/>
    <mergeCell ref="AW13:AX13"/>
    <mergeCell ref="AP148:AQ148"/>
    <mergeCell ref="AY42:AZ42"/>
    <mergeCell ref="AE21:AF21"/>
    <mergeCell ref="R176:X176"/>
    <mergeCell ref="AY200:AZ200"/>
    <mergeCell ref="BD117:BE117"/>
    <mergeCell ref="AP19:AQ19"/>
    <mergeCell ref="BA112:BC112"/>
    <mergeCell ref="R64:X64"/>
    <mergeCell ref="AW15:AX15"/>
    <mergeCell ref="AE23:AF23"/>
    <mergeCell ref="AY71:AZ71"/>
    <mergeCell ref="Y77:AD77"/>
    <mergeCell ref="R178:X178"/>
    <mergeCell ref="AE181:AF181"/>
    <mergeCell ref="AM168:AO168"/>
    <mergeCell ref="G54:I54"/>
    <mergeCell ref="AR91:AT91"/>
    <mergeCell ref="R57:X57"/>
    <mergeCell ref="Y166:AD166"/>
    <mergeCell ref="AR85:AT85"/>
    <mergeCell ref="Y160:AD160"/>
    <mergeCell ref="AI185:AJ185"/>
    <mergeCell ref="R49:X49"/>
    <mergeCell ref="AY73:AZ73"/>
    <mergeCell ref="J126:L126"/>
    <mergeCell ref="G81:I81"/>
    <mergeCell ref="G56:I56"/>
    <mergeCell ref="AG122:AH122"/>
    <mergeCell ref="A8:B8"/>
    <mergeCell ref="AW10:AX10"/>
    <mergeCell ref="BI96:BK96"/>
    <mergeCell ref="M136:Q136"/>
    <mergeCell ref="A184:B184"/>
    <mergeCell ref="Y72:AD72"/>
    <mergeCell ref="AP174:AQ174"/>
    <mergeCell ref="AM169:AO169"/>
    <mergeCell ref="BA139:BC139"/>
    <mergeCell ref="AU91:AV91"/>
    <mergeCell ref="AR86:AT86"/>
    <mergeCell ref="AP166:AQ166"/>
    <mergeCell ref="BD173:BE173"/>
    <mergeCell ref="A10:B10"/>
    <mergeCell ref="AI186:AJ186"/>
    <mergeCell ref="BI98:BK98"/>
    <mergeCell ref="AM184:AO184"/>
    <mergeCell ref="M121:Q121"/>
    <mergeCell ref="AE49:AF49"/>
    <mergeCell ref="AP159:AQ159"/>
    <mergeCell ref="AU93:AV93"/>
    <mergeCell ref="AW155:AX155"/>
    <mergeCell ref="BA7:BC7"/>
    <mergeCell ref="AI57:AJ57"/>
    <mergeCell ref="BF108:BH108"/>
    <mergeCell ref="M131:Q131"/>
    <mergeCell ref="AE163:AF163"/>
    <mergeCell ref="AP47:AQ47"/>
    <mergeCell ref="AM2:AN2"/>
    <mergeCell ref="AE76:AF76"/>
    <mergeCell ref="AG138:AH138"/>
    <mergeCell ref="R75:X75"/>
    <mergeCell ref="AP161:AQ161"/>
    <mergeCell ref="Y88:AD88"/>
    <mergeCell ref="J108:L108"/>
    <mergeCell ref="AW151:AX151"/>
    <mergeCell ref="BI93:BK93"/>
    <mergeCell ref="AM179:AO179"/>
    <mergeCell ref="AM39:AO39"/>
    <mergeCell ref="R102:X102"/>
    <mergeCell ref="AG140:AH140"/>
    <mergeCell ref="AW28:AX28"/>
    <mergeCell ref="C155:F155"/>
    <mergeCell ref="AI196:AJ196"/>
    <mergeCell ref="Y90:AD90"/>
    <mergeCell ref="AP192:AQ192"/>
    <mergeCell ref="J137:L137"/>
    <mergeCell ref="AE77:AF77"/>
    <mergeCell ref="BI124:BK124"/>
    <mergeCell ref="AG11:AH11"/>
    <mergeCell ref="AR104:AT104"/>
    <mergeCell ref="C157:F157"/>
    <mergeCell ref="J109:L109"/>
    <mergeCell ref="AY117:AZ117"/>
    <mergeCell ref="AP63:AQ63"/>
    <mergeCell ref="C151:F151"/>
    <mergeCell ref="AG169:AH169"/>
    <mergeCell ref="AI198:AJ198"/>
    <mergeCell ref="G100:I100"/>
    <mergeCell ref="J139:L139"/>
    <mergeCell ref="BA69:BC69"/>
    <mergeCell ref="G94:I94"/>
    <mergeCell ref="R103:X103"/>
    <mergeCell ref="AG135:AH135"/>
    <mergeCell ref="A21:B21"/>
    <mergeCell ref="M149:Q149"/>
    <mergeCell ref="J138:L138"/>
    <mergeCell ref="A57:B57"/>
    <mergeCell ref="AP187:AQ187"/>
    <mergeCell ref="BA35:BC35"/>
    <mergeCell ref="AI110:AJ110"/>
    <mergeCell ref="G102:I102"/>
    <mergeCell ref="C152:F152"/>
    <mergeCell ref="AI199:AJ199"/>
    <mergeCell ref="A23:B23"/>
    <mergeCell ref="M151:Q151"/>
    <mergeCell ref="AW79:AX79"/>
    <mergeCell ref="AK174:AL174"/>
    <mergeCell ref="BA64:BC64"/>
    <mergeCell ref="AU165:AV165"/>
    <mergeCell ref="AM29:AO29"/>
    <mergeCell ref="AP91:AQ91"/>
    <mergeCell ref="AR155:AT155"/>
    <mergeCell ref="AM23:AO23"/>
    <mergeCell ref="AG168:AH168"/>
    <mergeCell ref="AW81:AX81"/>
    <mergeCell ref="AE95:AF95"/>
    <mergeCell ref="AG195:AH195"/>
    <mergeCell ref="AE89:AF89"/>
    <mergeCell ref="G97:I97"/>
    <mergeCell ref="Y118:AD118"/>
    <mergeCell ref="R129:X129"/>
    <mergeCell ref="AP93:AQ93"/>
    <mergeCell ref="AR157:AT157"/>
    <mergeCell ref="R121:X121"/>
    <mergeCell ref="AY145:AZ145"/>
    <mergeCell ref="AK17:AL17"/>
    <mergeCell ref="AM111:AO111"/>
    <mergeCell ref="AY139:AZ139"/>
    <mergeCell ref="AG153:AH153"/>
    <mergeCell ref="G128:I128"/>
    <mergeCell ref="AR28:AT28"/>
    <mergeCell ref="R131:X131"/>
    <mergeCell ref="AE90:AF90"/>
    <mergeCell ref="AP118:AQ118"/>
    <mergeCell ref="A110:B110"/>
    <mergeCell ref="AY147:AZ147"/>
    <mergeCell ref="C170:F170"/>
    <mergeCell ref="G121:I121"/>
    <mergeCell ref="AG65:AH65"/>
    <mergeCell ref="AU35:AV35"/>
    <mergeCell ref="M79:Q79"/>
    <mergeCell ref="AR30:AT30"/>
    <mergeCell ref="M73:Q73"/>
    <mergeCell ref="BI33:BK33"/>
    <mergeCell ref="AP117:AQ117"/>
    <mergeCell ref="AY140:AZ140"/>
    <mergeCell ref="AE121:AF121"/>
    <mergeCell ref="AU34:AV34"/>
    <mergeCell ref="J193:L193"/>
    <mergeCell ref="BF180:BH180"/>
    <mergeCell ref="BI41:BK41"/>
    <mergeCell ref="BI35:BK35"/>
    <mergeCell ref="AP119:AQ119"/>
    <mergeCell ref="AR183:AT183"/>
    <mergeCell ref="AE123:AF123"/>
    <mergeCell ref="AU36:AV36"/>
    <mergeCell ref="BI51:BK51"/>
    <mergeCell ref="AG179:AH179"/>
    <mergeCell ref="M74:Q74"/>
    <mergeCell ref="AW92:AX92"/>
    <mergeCell ref="BD88:BE88"/>
    <mergeCell ref="BF182:BH182"/>
    <mergeCell ref="AR54:AT54"/>
    <mergeCell ref="AK187:AL187"/>
    <mergeCell ref="AR185:AT185"/>
    <mergeCell ref="R149:X149"/>
    <mergeCell ref="C196:F196"/>
    <mergeCell ref="AW94:AX94"/>
    <mergeCell ref="Y162:AD162"/>
    <mergeCell ref="BA110:BC110"/>
    <mergeCell ref="AR56:AT56"/>
    <mergeCell ref="AY69:AZ69"/>
    <mergeCell ref="R142:X142"/>
    <mergeCell ref="C198:F198"/>
    <mergeCell ref="AY158:AZ158"/>
    <mergeCell ref="R55:X55"/>
    <mergeCell ref="A121:B121"/>
    <mergeCell ref="Y164:AD164"/>
    <mergeCell ref="BI67:BK67"/>
    <mergeCell ref="M63:Q63"/>
    <mergeCell ref="G166:I166"/>
    <mergeCell ref="BI61:BK61"/>
    <mergeCell ref="BA135:BC135"/>
    <mergeCell ref="R144:X144"/>
    <mergeCell ref="AY193:AZ193"/>
    <mergeCell ref="Y157:AD157"/>
    <mergeCell ref="BI69:BK69"/>
    <mergeCell ref="BF24:BH24"/>
    <mergeCell ref="M92:Q92"/>
    <mergeCell ref="AP130:AQ130"/>
    <mergeCell ref="R200:X200"/>
    <mergeCell ref="AE159:AF159"/>
    <mergeCell ref="AE134:AF134"/>
    <mergeCell ref="G167:I167"/>
    <mergeCell ref="BI62:BK62"/>
    <mergeCell ref="Y188:AD188"/>
    <mergeCell ref="BA136:BC136"/>
    <mergeCell ref="AE47:AF47"/>
    <mergeCell ref="BF53:BH53"/>
    <mergeCell ref="R71:X71"/>
    <mergeCell ref="AP132:AQ132"/>
    <mergeCell ref="AR196:AT196"/>
    <mergeCell ref="BD12:BE12"/>
    <mergeCell ref="BI64:BK64"/>
    <mergeCell ref="Y190:AD190"/>
    <mergeCell ref="G192:I192"/>
    <mergeCell ref="R73:X73"/>
    <mergeCell ref="AW24:AX24"/>
    <mergeCell ref="AG111:AH111"/>
    <mergeCell ref="R195:X195"/>
    <mergeCell ref="AW18:AX18"/>
    <mergeCell ref="AR198:AT198"/>
    <mergeCell ref="AP188:AQ188"/>
    <mergeCell ref="BD14:BE14"/>
    <mergeCell ref="AI27:AJ27"/>
    <mergeCell ref="Y61:AD61"/>
    <mergeCell ref="Y183:AD183"/>
    <mergeCell ref="G63:I63"/>
    <mergeCell ref="J46:L46"/>
    <mergeCell ref="Z3:AD3"/>
    <mergeCell ref="BF50:BH50"/>
    <mergeCell ref="Y175:AD175"/>
    <mergeCell ref="BD13:BE13"/>
    <mergeCell ref="AW26:AX26"/>
    <mergeCell ref="AW148:AX148"/>
    <mergeCell ref="R197:X197"/>
    <mergeCell ref="AY82:AZ82"/>
    <mergeCell ref="AR110:AT110"/>
    <mergeCell ref="Y185:AD185"/>
    <mergeCell ref="AK85:AL85"/>
    <mergeCell ref="BI122:BK122"/>
    <mergeCell ref="J48:L48"/>
    <mergeCell ref="A17:B17"/>
    <mergeCell ref="AG106:AH106"/>
    <mergeCell ref="M120:Q120"/>
    <mergeCell ref="BD15:BE15"/>
    <mergeCell ref="C121:F121"/>
    <mergeCell ref="M145:Q145"/>
    <mergeCell ref="A53:B53"/>
    <mergeCell ref="Y56:AD56"/>
    <mergeCell ref="BA154:BC154"/>
    <mergeCell ref="AP183:AQ183"/>
    <mergeCell ref="BA58:BC58"/>
    <mergeCell ref="A19:B19"/>
    <mergeCell ref="M147:Q147"/>
    <mergeCell ref="AW165:AX165"/>
    <mergeCell ref="J136:L136"/>
    <mergeCell ref="AP185:AQ185"/>
    <mergeCell ref="AW181:AX181"/>
    <mergeCell ref="BA60:BC60"/>
    <mergeCell ref="AU102:AV102"/>
    <mergeCell ref="AR97:AT97"/>
    <mergeCell ref="BE3:BF3"/>
    <mergeCell ref="A48:B48"/>
    <mergeCell ref="AP56:AQ56"/>
    <mergeCell ref="AW52:AX52"/>
    <mergeCell ref="BA149:BC149"/>
    <mergeCell ref="AY108:AZ108"/>
    <mergeCell ref="AW166:AX166"/>
    <mergeCell ref="AI38:AJ38"/>
    <mergeCell ref="AR128:AT128"/>
    <mergeCell ref="BD156:BE156"/>
    <mergeCell ref="AE59:AF59"/>
    <mergeCell ref="BA151:BC151"/>
    <mergeCell ref="AP186:AQ186"/>
    <mergeCell ref="AG193:AH193"/>
    <mergeCell ref="AU103:AV103"/>
    <mergeCell ref="AK13:AL13"/>
    <mergeCell ref="A79:B79"/>
    <mergeCell ref="AW37:AX37"/>
    <mergeCell ref="BD33:BE33"/>
    <mergeCell ref="AM20:AO20"/>
    <mergeCell ref="G124:I124"/>
    <mergeCell ref="AI40:AJ40"/>
    <mergeCell ref="AM196:AO196"/>
    <mergeCell ref="AW47:AX47"/>
    <mergeCell ref="AY109:AZ109"/>
    <mergeCell ref="BI133:BK133"/>
    <mergeCell ref="AK15:AL15"/>
    <mergeCell ref="BF63:BH63"/>
    <mergeCell ref="A37:B37"/>
    <mergeCell ref="AR123:AT123"/>
    <mergeCell ref="Y198:AD198"/>
    <mergeCell ref="AK104:AL104"/>
    <mergeCell ref="BI135:BK135"/>
    <mergeCell ref="M158:Q158"/>
    <mergeCell ref="Y100:AD100"/>
    <mergeCell ref="BD28:BE28"/>
    <mergeCell ref="G119:I119"/>
    <mergeCell ref="AP196:AQ196"/>
    <mergeCell ref="AW192:AX192"/>
    <mergeCell ref="M168:Q168"/>
    <mergeCell ref="AK10:AL10"/>
    <mergeCell ref="AE119:AF119"/>
    <mergeCell ref="M160:Q160"/>
    <mergeCell ref="AG175:AH175"/>
    <mergeCell ref="AW63:AX63"/>
    <mergeCell ref="AP198:AQ198"/>
    <mergeCell ref="BD84:BE84"/>
    <mergeCell ref="AW194:AX194"/>
    <mergeCell ref="Y125:AD125"/>
    <mergeCell ref="BA73:BC73"/>
    <mergeCell ref="AR181:AT181"/>
    <mergeCell ref="AE112:AF112"/>
    <mergeCell ref="AM38:AO38"/>
    <mergeCell ref="R145:X145"/>
    <mergeCell ref="AE148:AF148"/>
    <mergeCell ref="AG177:AH177"/>
    <mergeCell ref="C192:F192"/>
    <mergeCell ref="A63:B63"/>
    <mergeCell ref="BD86:BE86"/>
    <mergeCell ref="Y133:AD133"/>
    <mergeCell ref="Y127:AD127"/>
    <mergeCell ref="AK155:AL155"/>
    <mergeCell ref="AE114:AF114"/>
    <mergeCell ref="AG176:AH176"/>
    <mergeCell ref="AM40:AO40"/>
    <mergeCell ref="R147:X147"/>
    <mergeCell ref="M184:Q184"/>
    <mergeCell ref="BD79:BE79"/>
    <mergeCell ref="C194:F194"/>
    <mergeCell ref="A92:B92"/>
    <mergeCell ref="AK157:AL157"/>
    <mergeCell ref="G137:I137"/>
    <mergeCell ref="R140:X140"/>
    <mergeCell ref="AE143:AF143"/>
    <mergeCell ref="AY164:AZ164"/>
    <mergeCell ref="AU58:AV58"/>
    <mergeCell ref="BD81:BE81"/>
    <mergeCell ref="Y128:AD128"/>
    <mergeCell ref="BI146:BK146"/>
    <mergeCell ref="A119:B119"/>
    <mergeCell ref="AK28:AL28"/>
    <mergeCell ref="A94:B94"/>
    <mergeCell ref="AK150:AL150"/>
    <mergeCell ref="J175:L175"/>
    <mergeCell ref="AR167:AT167"/>
    <mergeCell ref="G139:I139"/>
    <mergeCell ref="C189:F189"/>
    <mergeCell ref="AU60:AV60"/>
    <mergeCell ref="BF147:BH147"/>
    <mergeCell ref="AW116:AX116"/>
    <mergeCell ref="AE130:AF130"/>
    <mergeCell ref="AK30:AL30"/>
    <mergeCell ref="C34:F34"/>
    <mergeCell ref="BA101:BC101"/>
    <mergeCell ref="AE160:AF160"/>
    <mergeCell ref="G168:I168"/>
    <mergeCell ref="AP128:AQ128"/>
    <mergeCell ref="AR192:AT192"/>
    <mergeCell ref="AW124:AX124"/>
    <mergeCell ref="AW118:AX118"/>
    <mergeCell ref="AU45:AV45"/>
    <mergeCell ref="BI60:BK60"/>
    <mergeCell ref="AE132:AF132"/>
    <mergeCell ref="AY180:AZ180"/>
    <mergeCell ref="AM6:AO6"/>
    <mergeCell ref="AG48:AH48"/>
    <mergeCell ref="BF51:BH51"/>
    <mergeCell ref="AU55:AV55"/>
    <mergeCell ref="AW117:AX117"/>
    <mergeCell ref="AR194:AT194"/>
    <mergeCell ref="J18:L18"/>
    <mergeCell ref="AR200:AT200"/>
    <mergeCell ref="C29:F29"/>
    <mergeCell ref="R158:X158"/>
    <mergeCell ref="M28:Q28"/>
    <mergeCell ref="AE161:AF161"/>
    <mergeCell ref="M85:Q85"/>
    <mergeCell ref="AY182:AZ182"/>
    <mergeCell ref="C65:F65"/>
    <mergeCell ref="J17:L17"/>
    <mergeCell ref="BD99:BE99"/>
    <mergeCell ref="AI112:AJ112"/>
    <mergeCell ref="R193:X193"/>
    <mergeCell ref="R168:X168"/>
    <mergeCell ref="AW119:AX119"/>
    <mergeCell ref="AE127:AF127"/>
    <mergeCell ref="Y181:AD181"/>
    <mergeCell ref="C31:F31"/>
    <mergeCell ref="A147:B147"/>
    <mergeCell ref="AK56:AL56"/>
    <mergeCell ref="R160:X160"/>
    <mergeCell ref="AU200:AV200"/>
    <mergeCell ref="AG102:AH102"/>
    <mergeCell ref="Z1:AD1"/>
    <mergeCell ref="J19:L19"/>
    <mergeCell ref="BD101:BE101"/>
    <mergeCell ref="AW134:AX134"/>
    <mergeCell ref="AK170:AL170"/>
    <mergeCell ref="G194:I194"/>
    <mergeCell ref="AR195:AT195"/>
    <mergeCell ref="AY177:AZ177"/>
    <mergeCell ref="AU71:AV71"/>
    <mergeCell ref="C60:F60"/>
    <mergeCell ref="BD94:BE94"/>
    <mergeCell ref="G160:I160"/>
    <mergeCell ref="M118:Q118"/>
    <mergeCell ref="BF77:BH77"/>
    <mergeCell ref="BI78:BK78"/>
    <mergeCell ref="BI200:BK200"/>
    <mergeCell ref="A148:B148"/>
    <mergeCell ref="AU73:AV73"/>
    <mergeCell ref="R184:X184"/>
    <mergeCell ref="AE187:AF187"/>
    <mergeCell ref="M111:Q111"/>
    <mergeCell ref="BD125:BE125"/>
    <mergeCell ref="BA145:BC145"/>
    <mergeCell ref="AM148:AO148"/>
    <mergeCell ref="AI9:AJ9"/>
    <mergeCell ref="BD152:BE152"/>
    <mergeCell ref="Y199:AD199"/>
    <mergeCell ref="AY53:AZ53"/>
    <mergeCell ref="C49:F49"/>
    <mergeCell ref="BA147:BC147"/>
    <mergeCell ref="R179:X179"/>
    <mergeCell ref="AI36:AJ36"/>
    <mergeCell ref="AE5:AF6"/>
    <mergeCell ref="C42:F42"/>
    <mergeCell ref="A158:B158"/>
    <mergeCell ref="BF59:BH59"/>
    <mergeCell ref="AW132:AX132"/>
    <mergeCell ref="AR119:AT119"/>
    <mergeCell ref="BD147:BE147"/>
    <mergeCell ref="AK100:AL100"/>
    <mergeCell ref="Y194:AD194"/>
    <mergeCell ref="A160:B160"/>
    <mergeCell ref="AY107:AZ107"/>
    <mergeCell ref="BI106:BK106"/>
    <mergeCell ref="BD24:BE24"/>
    <mergeCell ref="BF88:BH88"/>
    <mergeCell ref="AI31:AJ31"/>
    <mergeCell ref="AU126:AV126"/>
    <mergeCell ref="A159:B159"/>
    <mergeCell ref="AW188:AX188"/>
    <mergeCell ref="BA173:BC173"/>
    <mergeCell ref="AK6:AL6"/>
    <mergeCell ref="A72:B72"/>
    <mergeCell ref="C75:F75"/>
    <mergeCell ref="AU3:AV3"/>
    <mergeCell ref="J88:L88"/>
    <mergeCell ref="BF90:BH90"/>
    <mergeCell ref="AK95:AL95"/>
    <mergeCell ref="AM159:AO159"/>
    <mergeCell ref="A161:B161"/>
    <mergeCell ref="AW190:AX190"/>
    <mergeCell ref="BI101:BK101"/>
    <mergeCell ref="BA158:BC158"/>
    <mergeCell ref="AW61:AX61"/>
    <mergeCell ref="J117:L117"/>
    <mergeCell ref="AM167:AO167"/>
    <mergeCell ref="AK97:AL97"/>
    <mergeCell ref="AM161:AO161"/>
    <mergeCell ref="AI64:AJ64"/>
    <mergeCell ref="BD171:BE171"/>
    <mergeCell ref="J83:L83"/>
    <mergeCell ref="BA13:BC13"/>
    <mergeCell ref="BD50:BE50"/>
    <mergeCell ref="AW185:AX185"/>
    <mergeCell ref="J119:L119"/>
    <mergeCell ref="A88:B88"/>
    <mergeCell ref="AP9:AQ9"/>
    <mergeCell ref="BD42:BE42"/>
    <mergeCell ref="J85:L85"/>
    <mergeCell ref="A54:B54"/>
    <mergeCell ref="M182:Q182"/>
    <mergeCell ref="BA15:BC15"/>
    <mergeCell ref="BD52:BE52"/>
    <mergeCell ref="BD77:BE77"/>
    <mergeCell ref="BA191:BC191"/>
    <mergeCell ref="A90:B90"/>
    <mergeCell ref="AK113:AL113"/>
    <mergeCell ref="A56:B56"/>
    <mergeCell ref="BA184:BC184"/>
    <mergeCell ref="AK148:AL148"/>
    <mergeCell ref="AI50:AJ50"/>
    <mergeCell ref="AU145:AV145"/>
    <mergeCell ref="AG17:AH17"/>
    <mergeCell ref="AU139:AV139"/>
    <mergeCell ref="M183:Q183"/>
    <mergeCell ref="BF20:BH20"/>
    <mergeCell ref="A85:B85"/>
    <mergeCell ref="AU16:AV16"/>
    <mergeCell ref="AG19:AH19"/>
    <mergeCell ref="BF22:BH22"/>
    <mergeCell ref="AI75:AJ75"/>
    <mergeCell ref="AM91:AO91"/>
    <mergeCell ref="AU140:AV140"/>
    <mergeCell ref="M24:Q24"/>
    <mergeCell ref="J13:L13"/>
    <mergeCell ref="BD70:BE70"/>
    <mergeCell ref="AM93:AO93"/>
    <mergeCell ref="BI170:BK170"/>
    <mergeCell ref="C27:F27"/>
    <mergeCell ref="M53:Q53"/>
    <mergeCell ref="BD63:BE63"/>
    <mergeCell ref="J15:L15"/>
    <mergeCell ref="AR160:AT160"/>
    <mergeCell ref="AK166:AL166"/>
    <mergeCell ref="G190:I190"/>
    <mergeCell ref="BI172:BK172"/>
    <mergeCell ref="BA28:BC28"/>
    <mergeCell ref="M55:Q55"/>
    <mergeCell ref="BD90:BE90"/>
    <mergeCell ref="AI103:AJ103"/>
    <mergeCell ref="AU173:AV173"/>
    <mergeCell ref="AK168:AL168"/>
    <mergeCell ref="BI171:BK171"/>
    <mergeCell ref="AK9:AL9"/>
    <mergeCell ref="AK47:AL47"/>
    <mergeCell ref="M48:Q48"/>
    <mergeCell ref="AU44:AV44"/>
    <mergeCell ref="AR34:AT34"/>
    <mergeCell ref="BA30:BC30"/>
    <mergeCell ref="BF156:BH156"/>
    <mergeCell ref="BF162:BH162"/>
    <mergeCell ref="AG72:AH72"/>
    <mergeCell ref="BD121:BE121"/>
    <mergeCell ref="AK167:AL167"/>
    <mergeCell ref="BA116:BC116"/>
    <mergeCell ref="AU158:AV158"/>
    <mergeCell ref="AM119:AO119"/>
    <mergeCell ref="AI188:AJ188"/>
    <mergeCell ref="AM75:AO75"/>
    <mergeCell ref="AK38:AL38"/>
    <mergeCell ref="BF164:BH164"/>
    <mergeCell ref="AR36:AT36"/>
    <mergeCell ref="AE185:AF185"/>
    <mergeCell ref="BF43:BH43"/>
    <mergeCell ref="BD123:BE123"/>
    <mergeCell ref="G32:I32"/>
    <mergeCell ref="J33:L33"/>
    <mergeCell ref="AM104:AO104"/>
    <mergeCell ref="AI7:AJ7"/>
    <mergeCell ref="BD116:BE116"/>
    <mergeCell ref="AI129:AJ129"/>
    <mergeCell ref="M37:Q37"/>
    <mergeCell ref="AY51:AZ51"/>
    <mergeCell ref="AK63:AL63"/>
    <mergeCell ref="AK194:AL194"/>
    <mergeCell ref="R177:X177"/>
    <mergeCell ref="AM106:AO106"/>
    <mergeCell ref="BF188:BH188"/>
    <mergeCell ref="BD118:BE118"/>
    <mergeCell ref="AI131:AJ131"/>
    <mergeCell ref="C40:F40"/>
    <mergeCell ref="BI43:BK43"/>
    <mergeCell ref="Y165:AD165"/>
    <mergeCell ref="AU184:AV184"/>
    <mergeCell ref="G27:I27"/>
    <mergeCell ref="J28:L28"/>
    <mergeCell ref="AK37:AL37"/>
    <mergeCell ref="AI2:AJ2"/>
    <mergeCell ref="M38:Q38"/>
    <mergeCell ref="A155:B155"/>
    <mergeCell ref="BF190:BH190"/>
    <mergeCell ref="AE27:AF27"/>
    <mergeCell ref="AK189:AL189"/>
    <mergeCell ref="C71:F71"/>
    <mergeCell ref="J30:L30"/>
    <mergeCell ref="BF61:BH61"/>
    <mergeCell ref="BI184:BK184"/>
    <mergeCell ref="A157:B157"/>
    <mergeCell ref="AK66:AL66"/>
    <mergeCell ref="AM130:AO130"/>
    <mergeCell ref="R17:X17"/>
    <mergeCell ref="AE20:AF20"/>
    <mergeCell ref="BI97:BK97"/>
    <mergeCell ref="AE196:AF196"/>
    <mergeCell ref="R53:X53"/>
    <mergeCell ref="AY77:AZ77"/>
    <mergeCell ref="AY33:AZ33"/>
    <mergeCell ref="AG85:AH85"/>
    <mergeCell ref="BD134:BE134"/>
    <mergeCell ref="AK93:AL93"/>
    <mergeCell ref="AM132:AO132"/>
    <mergeCell ref="AM157:AO157"/>
    <mergeCell ref="AI60:AJ60"/>
    <mergeCell ref="R46:X46"/>
    <mergeCell ref="C66:F66"/>
    <mergeCell ref="AE198:AF198"/>
    <mergeCell ref="AR49:AT49"/>
    <mergeCell ref="Y7:AD7"/>
    <mergeCell ref="Y34:AD34"/>
    <mergeCell ref="J54:L54"/>
    <mergeCell ref="C102:F102"/>
    <mergeCell ref="AI149:AJ149"/>
    <mergeCell ref="G45:I45"/>
    <mergeCell ref="R48:X48"/>
    <mergeCell ref="C68:F68"/>
    <mergeCell ref="AG80:AH80"/>
    <mergeCell ref="AI142:AJ142"/>
    <mergeCell ref="J56:L56"/>
    <mergeCell ref="BD48:BE48"/>
    <mergeCell ref="AI55:AJ55"/>
    <mergeCell ref="AK117:AL117"/>
    <mergeCell ref="G47:I47"/>
    <mergeCell ref="AU108:AV108"/>
    <mergeCell ref="AP34:AQ34"/>
    <mergeCell ref="C97:F97"/>
    <mergeCell ref="R79:X79"/>
    <mergeCell ref="A175:B175"/>
    <mergeCell ref="AY59:AZ59"/>
    <mergeCell ref="AE38:AF38"/>
    <mergeCell ref="J110:L110"/>
    <mergeCell ref="G46:I46"/>
    <mergeCell ref="BF114:BH114"/>
    <mergeCell ref="G40:I40"/>
    <mergeCell ref="AK119:AL119"/>
    <mergeCell ref="AI46:AJ46"/>
    <mergeCell ref="A185:B185"/>
    <mergeCell ref="AG13:AH13"/>
    <mergeCell ref="AP36:AQ36"/>
    <mergeCell ref="R37:X37"/>
    <mergeCell ref="AE40:AF40"/>
    <mergeCell ref="AY88:AZ88"/>
    <mergeCell ref="J141:L141"/>
    <mergeCell ref="AU109:AV109"/>
    <mergeCell ref="AM185:AO185"/>
    <mergeCell ref="AG15:AH15"/>
    <mergeCell ref="A170:B170"/>
    <mergeCell ref="AR102:AT102"/>
    <mergeCell ref="AY54:AZ54"/>
    <mergeCell ref="AM62:AO62"/>
    <mergeCell ref="AY90:AZ90"/>
    <mergeCell ref="AG104:AH104"/>
    <mergeCell ref="AM56:AO56"/>
    <mergeCell ref="AU136:AV136"/>
    <mergeCell ref="AG8:AH8"/>
    <mergeCell ref="Y54:AD54"/>
    <mergeCell ref="AM176:AO176"/>
    <mergeCell ref="BD188:BE188"/>
    <mergeCell ref="AI73:AJ73"/>
    <mergeCell ref="AE94:AF94"/>
    <mergeCell ref="AG10:AH10"/>
    <mergeCell ref="BD59:BE59"/>
    <mergeCell ref="BD190:BE190"/>
    <mergeCell ref="AP62:AQ62"/>
    <mergeCell ref="AM57:AO57"/>
    <mergeCell ref="AK137:AL137"/>
    <mergeCell ref="J100:L100"/>
    <mergeCell ref="AP54:AQ54"/>
    <mergeCell ref="J94:L94"/>
    <mergeCell ref="BA24:BC24"/>
    <mergeCell ref="BD61:BE61"/>
    <mergeCell ref="AI74:AJ74"/>
    <mergeCell ref="BF125:BH125"/>
    <mergeCell ref="AK130:AL130"/>
    <mergeCell ref="A196:B196"/>
    <mergeCell ref="AP64:AQ64"/>
    <mergeCell ref="AG155:AH155"/>
    <mergeCell ref="BA26:BC26"/>
    <mergeCell ref="J125:L125"/>
    <mergeCell ref="BA53:BC53"/>
    <mergeCell ref="BF127:BH127"/>
    <mergeCell ref="AK132:AL132"/>
    <mergeCell ref="A198:B198"/>
    <mergeCell ref="BI169:BK169"/>
    <mergeCell ref="AG157:AH157"/>
    <mergeCell ref="AU164:AV164"/>
    <mergeCell ref="AR32:AT32"/>
    <mergeCell ref="Y107:AD107"/>
    <mergeCell ref="J154:L154"/>
    <mergeCell ref="AM198:AO198"/>
    <mergeCell ref="AY20:AZ20"/>
    <mergeCell ref="C16:F16"/>
    <mergeCell ref="AG28:AH28"/>
    <mergeCell ref="AG150:AH150"/>
    <mergeCell ref="AG186:AH186"/>
    <mergeCell ref="C168:F168"/>
    <mergeCell ref="J120:L120"/>
    <mergeCell ref="BA50:BC50"/>
    <mergeCell ref="AU193:AV193"/>
    <mergeCell ref="C9:F9"/>
    <mergeCell ref="BI12:BK12"/>
    <mergeCell ref="G117:I117"/>
    <mergeCell ref="A125:B125"/>
    <mergeCell ref="J156:L156"/>
    <mergeCell ref="AM110:AO110"/>
    <mergeCell ref="AG30:AH30"/>
    <mergeCell ref="AI92:AJ92"/>
    <mergeCell ref="AG152:AH152"/>
    <mergeCell ref="C167:F167"/>
    <mergeCell ref="AR27:AT27"/>
    <mergeCell ref="Y102:AD102"/>
    <mergeCell ref="AK8:AL8"/>
    <mergeCell ref="J155:L155"/>
    <mergeCell ref="BA52:BC52"/>
    <mergeCell ref="AY15:AZ15"/>
    <mergeCell ref="C11:F11"/>
    <mergeCell ref="BI39:BK39"/>
    <mergeCell ref="AG23:AH23"/>
    <mergeCell ref="AU180:AV180"/>
    <mergeCell ref="C169:F169"/>
  </mergeCells>
  <conditionalFormatting sqref="AI7:AI200">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conditionalFormatting sqref="AW7:AW200">
    <cfRule type="cellIs" priority="5" operator="equal" dxfId="0">
      <formula>"Pass"</formula>
    </cfRule>
    <cfRule type="cellIs" priority="6" operator="equal" dxfId="1">
      <formula>"Fail"</formula>
    </cfRule>
    <cfRule type="cellIs" priority="7" operator="equal" dxfId="2">
      <formula>"Pending"</formula>
    </cfRule>
    <cfRule type="cellIs" priority="8" operator="equal" dxfId="3">
      <formula>"N/A"</formula>
    </cfRule>
  </conditionalFormatting>
  <dataValidations count="3">
    <dataValidation sqref="AE7:AE200" showDropDown="0" showInputMessage="0" showErrorMessage="0" allowBlank="1" type="list">
      <formula1>"N,A,B"</formula1>
    </dataValidation>
    <dataValidation sqref="AI7:AI200" showDropDown="0" showInputMessage="0" showErrorMessage="0" allowBlank="1" type="list">
      <formula1>"Pass,Fail,N/A,Pending"</formula1>
    </dataValidation>
    <dataValidation sqref="AW7:AW200" showDropDown="0" showInputMessage="0" showErrorMessage="0" allowBlank="1" type="list">
      <formula1>"Pass,Fail,N/A,Pending"</formula1>
    </dataValidation>
  </dataValidations>
  <pageMargins left="0.75" right="0.75" top="1" bottom="1" header="0.5" footer="0.5"/>
  <pageSetup orientation="landscape" fitToHeight="0" fitToWidth="1"/>
  <headerFooter>
    <oddHeader>&amp;L&amp;"Meiryo"&amp;9 文書名：TC-UAT-WEB-01 テストケース — VoIPWeb受入テストケース&amp;C&amp;"Meiryo"&amp;9 作成者：VTI-SAM　図番：-&amp;R&amp;"Meiryo"&amp;9 更新日：2026/06/20</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2026-06-22T08:51:46Z</dcterms:created>
  <dcterms:modified xsi:type="dcterms:W3CDTF">2026-06-22T08:51:49Z</dcterms:modified>
</cp:coreProperties>
</file>